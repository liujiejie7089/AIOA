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点联动场景对照" sheetId="1" state="visible" r:id="rId1"/>
    <sheet xmlns:r="http://schemas.openxmlformats.org/officeDocument/2006/relationships" name="项目管理用例" sheetId="2" state="visible" r:id="rId2"/>
    <sheet xmlns:r="http://schemas.openxmlformats.org/officeDocument/2006/relationships" name="项目与仓库用例" sheetId="3" state="visible" r:id="rId3"/>
    <sheet xmlns:r="http://schemas.openxmlformats.org/officeDocument/2006/relationships" name="数据对齐说明" sheetId="4" state="visible" r:id="rId4"/>
  </sheets>
  <definedNames>
    <definedName name="_xlnm._FilterDatabase" localSheetId="0" hidden="1">'重点联动场景对照'!$A$2:$F$7</definedName>
    <definedName name="_xlnm._FilterDatabase" localSheetId="1" hidden="1">'项目管理用例'!$A$2:$J$30</definedName>
    <definedName name="_xlnm._FilterDatabase" localSheetId="2" hidden="1">'项目与仓库用例'!$A$2:$J$24</definedName>
    <definedName name="_xlnm._FilterDatabase" localSheetId="3" hidden="1">'数据对齐说明'!$A$2:$F$21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"/>
    </font>
    <font>
      <sz val="10"/>
    </font>
    <font>
      <b val="1"/>
      <color rgb="FF1F3864"/>
      <sz val="11"/>
    </font>
    <font>
      <b val="1"/>
      <color rgb="FF1F3864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pivotButton="0" quotePrefix="0" xfId="0"/>
    <xf numFmtId="1" fontId="5" fillId="3" borderId="1" applyAlignment="1" pivotButton="0" quotePrefix="0" xfId="0">
      <alignment horizontal="center" vertical="center"/>
    </xf>
    <xf numFmtId="1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ont>
        <color rgb="FF006100"/>
      </font>
      <fill>
        <patternFill patternType="solid">
          <bgColor rgb="FFE2EFDA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595959"/>
      </font>
      <fill>
        <patternFill patternType="solid">
          <bgColor rgb="FF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6" customWidth="1" min="3" max="3"/>
    <col width="22" customWidth="1" min="4" max="4"/>
    <col width="62" customWidth="1" min="5" max="5"/>
    <col width="28" customWidth="1" min="6" max="6"/>
  </cols>
  <sheetData>
    <row r="1" ht="26" customHeight="1">
      <c r="A1" s="1" t="inlineStr">
        <is>
          <t>AIOA 项目管理 / 项目与仓库 · 五大重点联动场景对照</t>
        </is>
      </c>
      <c r="B1" s="2" t="n"/>
      <c r="C1" s="2" t="n"/>
      <c r="D1" s="2" t="n"/>
      <c r="E1" s="2" t="n"/>
      <c r="F1" s="2" t="n"/>
    </row>
    <row r="2" ht="30" customHeight="1">
      <c r="A2" s="3" t="inlineStr">
        <is>
          <t>场景号</t>
        </is>
      </c>
      <c r="B2" s="3" t="inlineStr">
        <is>
          <t>场景（需求原话）</t>
        </is>
      </c>
      <c r="C2" s="3" t="inlineStr">
        <is>
          <t>关键验证点</t>
        </is>
      </c>
      <c r="D2" s="3" t="inlineStr">
        <is>
          <t>关联用例ID</t>
        </is>
      </c>
      <c r="E2" s="3" t="inlineStr">
        <is>
          <t>实测结论（与当天系统同源）</t>
        </is>
      </c>
      <c r="F2" s="3" t="inlineStr">
        <is>
          <t>风险提示</t>
        </is>
      </c>
    </row>
    <row r="3">
      <c r="A3" s="4" t="inlineStr">
        <is>
          <t>场景1</t>
        </is>
      </c>
      <c r="B3" s="5" t="inlineStr">
        <is>
          <t>建开发项目 PROJ-2026-002，绑定仓库 fagai-project-ledger，验证能在【项目与仓库】列表中看到</t>
        </is>
      </c>
      <c r="C3" s="5" t="inlineStr">
        <is>
          <t>① 项目类型=开发项目才有【代码仓库】页签；② 绑定后仓库归属唯一；③ 仓库出现在【项目与仓库】列表</t>
        </is>
      </c>
      <c r="D3" s="4" t="inlineStr">
        <is>
          <t>PM-005、PM-006、GR-012、GR-013</t>
        </is>
      </c>
      <c r="E3" s="5" t="inlineStr">
        <is>
          <t>链路成立，但与你给的数据有两处不符：
① 仓库名由平台按「dept{部门ID}-{项目名slug}」派生（实测库内既有仓库全部形如 dept10-xxx / dept11-xxx），不会出现字面量 fagai-project-ledger，除非项目名恰好能被 slug 成该串；
② 只有「尚未归属任何项目」的仓库才能被绑定（一个仓库只归一个项目）；
③ 实测当前库中不存在名为 fagai-project-ledger 的仓库，需先按 GR-012 新建。</t>
        </is>
      </c>
      <c r="F3" s="5" t="inlineStr">
        <is>
          <t>中。若按字面仓库名逐字核对，会把「派生命名」误判为缺陷。请以列表中的实际 repoName 为准。</t>
        </is>
      </c>
    </row>
    <row r="4">
      <c r="A4" s="4" t="inlineStr">
        <is>
          <t>场景2</t>
        </is>
      </c>
      <c r="B4" s="5" t="inlineStr">
        <is>
          <t>建业务项目 PROJ-2026-001，验证不出现代码仓库绑定选项</t>
        </is>
      </c>
      <c r="C4" s="5" t="inlineStr">
        <is>
          <t>① 新建对话框类型=业务项目时仓库字段全部不渲染；② 提示文案正确；③ 服务端同样拒绝（前端隐藏≠边界）</t>
        </is>
      </c>
      <c r="D4" s="4" t="inlineStr">
        <is>
          <t>PM-002、PM-003、PM-023</t>
        </is>
      </c>
      <c r="E4" s="5" t="inlineStr">
        <is>
          <t>成立。界面层在类型=业务项目时不渲染【代码仓库策略】分隔线、仓库策略单选、选择仓库下拉与可见性，改为提示「业务项目无需仓库配置」；服务端 ProjectTypeGuard（BR-01）在创建/绑仓库/建任务三条写入路径上兜底拒绝，直接构造请求也返回 400「业务项目不支持代码仓库配置」。</t>
        </is>
      </c>
      <c r="F4" s="5" t="inlineStr">
        <is>
          <t>无。</t>
        </is>
      </c>
    </row>
    <row r="5">
      <c r="A5" s="4" t="inlineStr">
        <is>
          <t>场景3</t>
        </is>
      </c>
      <c r="B5" s="5" t="inlineStr">
        <is>
          <t>Gitee 未初始化时，进入开发项目尝试绑仓库，验证拦截文案为「尚未初始化，使用企业自己的访问令牌与组织登录名初始化后，建仓等写操作将使用企业令牌，不依赖个人 OAuth 绑定」</t>
        </is>
      </c>
      <c r="C5" s="5" t="inlineStr">
        <is>
          <t>① 文案是否存在且逐字一致；② 它出现在哪个位置；③ 是否真的「拦住」建仓/绑仓库动作</t>
        </is>
      </c>
      <c r="D5" s="4" t="inlineStr">
        <is>
          <t>GR-002、GR-003、GR-004</t>
        </is>
      </c>
      <c r="E5" s="5" t="inlineStr">
        <is>
          <t>★ 需重点澄清：文案存在，但它不是「绑仓库时的拦截」，而是常驻告知横幅。
位置：【项目与仓库】→「企业 Gitee 初始化」卡片内的 info 提示框（标题「尚未初始化」+ 正文逐字一致）。
拦截：当前**没有**任何「未初始化即禁止建仓」的守卫。令牌获取顺序为「个人令牌优先 → 企业令牌兜底 → 都没有才报错」（GiteeTokenService.requireAccessToken）。实测个人账号已绑定（liu-yang20 / 刘尖尖），因此未初始化状态下建仓会**回落到个人 OAuth 令牌并可能成功**。</t>
        </is>
      </c>
      <c r="F5" s="5" t="inlineStr">
        <is>
          <t>高。若按「进开发项目→绑仓库应被弹窗拦截」验收，会误报缺陷。正确口径：文案=告知；硬拦截=不存在（属需求增量）。</t>
        </is>
      </c>
    </row>
    <row r="6">
      <c r="A6" s="4" t="inlineStr">
        <is>
          <t>场景4</t>
        </is>
      </c>
      <c r="B6" s="5" t="inlineStr">
        <is>
          <t>验证运维/校准面板统计、手动校准按钮、定时校准开关</t>
        </is>
      </c>
      <c r="C6" s="5" t="inlineStr">
        <is>
          <t>① 四项统计与 Worker 名；② 手动校准可触发；③ 定时校准是否可切换</t>
        </is>
      </c>
      <c r="D6" s="4" t="inlineStr">
        <is>
          <t>GR-005、GR-006、GR-007、GR-008</t>
        </is>
      </c>
      <c r="E6" s="5" t="inlineStr">
        <is>
          <t>统计完全一致：待处理(PENDING)=0、执行中(RUNNING)=0、已完成(DONE)=1836、失败(FAILED)=1445、Worker=aioa-gitee-1，与 GET /api/v1/gitee/tasks/stats 实测逐字相符；定时校准标签=开启、删除连仓标签=否；【手动校准】按钮存在且可用（POST /gitee/calibrate，返回 scope=TENANT:2）。
但【定时校准】是**只读标签（el-tag）**，页面上**没有开关控件**。</t>
        </is>
      </c>
      <c r="F6" s="5" t="inlineStr">
        <is>
          <t>中。若「定时校准开关」被要求为可切换，属功能缺口，需先确认需求口径再记缺陷。</t>
        </is>
      </c>
    </row>
    <row r="7">
      <c r="A7" s="4" t="inlineStr">
        <is>
          <t>场景5</t>
        </is>
      </c>
      <c r="B7" s="5" t="inlineStr">
        <is>
          <t>列表筛选：按项目类型、项目编号、仓库名查询</t>
        </is>
      </c>
      <c r="C7" s="5" t="inlineStr">
        <is>
          <t>① 项目管理侧：类型/状态/编号关键字；② 项目与仓库侧：归属部门 + 仓库名</t>
        </is>
      </c>
      <c r="D7" s="4" t="inlineStr">
        <is>
          <t>PM-008、PM-009、PM-010、PM-011、PM-012、GR-009、GR-010、GR-011</t>
        </is>
      </c>
      <c r="E7" s="5" t="inlineStr">
        <is>
          <t>成立。PM 侧关键字同时匹配「项目名称 LIKE」与「项目编号 LIKE」（后端 and(name like OR project_no like)）；项目与仓库侧关键字匹配「项目名称/仓库名」，另有【归属部门】下拉（取自 /gitee/departments，含命名前缀如 dept11-）。
注意：两处列表均**无分页**（PM 返回全量数组；仓库侧返回 items+total），筛选是服务端过滤后整表返回。</t>
        </is>
      </c>
      <c r="F7" s="5" t="inlineStr">
        <is>
          <t>低。数据量大时无分页只是体验问题，不是缺陷。</t>
        </is>
      </c>
    </row>
  </sheetData>
  <autoFilter ref="A2:F7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6" customWidth="1" min="4" max="4"/>
    <col width="40" customWidth="1" min="5" max="5"/>
    <col width="54" customWidth="1" min="6" max="6"/>
    <col width="58" customWidth="1" min="7" max="7"/>
    <col width="46" customWidth="1" min="8" max="8"/>
    <col width="11" customWidth="1" min="9" max="9"/>
    <col width="26" customWidth="1" min="10" max="10"/>
  </cols>
  <sheetData>
    <row r="1" ht="26" customHeight="1">
      <c r="A1" s="1" t="inlineStr">
        <is>
          <t>【项目管理】模块 · 手工功能测试用例（V71 批次 1 口径）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用例ID</t>
        </is>
      </c>
      <c r="B2" s="3" t="inlineStr">
        <is>
          <t>模块</t>
        </is>
      </c>
      <c r="C2" s="3" t="inlineStr">
        <is>
          <t>场景类型</t>
        </is>
      </c>
      <c r="D2" s="3" t="inlineStr">
        <is>
          <t>测试点</t>
        </is>
      </c>
      <c r="E2" s="3" t="inlineStr">
        <is>
          <t>前置条件</t>
        </is>
      </c>
      <c r="F2" s="3" t="inlineStr">
        <is>
          <t>操作步骤</t>
        </is>
      </c>
      <c r="G2" s="3" t="inlineStr">
        <is>
          <t>预期结果</t>
        </is>
      </c>
      <c r="H2" s="3" t="inlineStr">
        <is>
          <t>实测依据 · 说明</t>
        </is>
      </c>
      <c r="I2" s="3" t="inlineStr">
        <is>
          <t>执行结果</t>
        </is>
      </c>
      <c r="J2" s="3" t="inlineStr">
        <is>
          <t>备注</t>
        </is>
      </c>
    </row>
    <row r="3">
      <c r="A3" s="4" t="inlineStr">
        <is>
          <t>PM-001</t>
        </is>
      </c>
      <c r="B3" s="4" t="inlineStr">
        <is>
          <t>项目管理</t>
        </is>
      </c>
      <c r="C3" s="4" t="inlineStr">
        <is>
          <t>正向</t>
        </is>
      </c>
      <c r="D3" s="5" t="inlineStr">
        <is>
          <t>菜单可达性与页面结构</t>
        </is>
      </c>
      <c r="E3" s="5" t="inlineStr">
        <is>
          <t>管理端 http://127.0.0.1:8080/aioa/web/ ；账号 dsj_admin / User@123 / 租户「某某市某某区大数据管理局」；后端 8080 正常、V71 迁移已应用</t>
        </is>
      </c>
      <c r="F3" s="5" t="inlineStr">
        <is>
          <t>1) 左侧菜单点【成果与项目】
2) 点【项目管理】
3) 观察页面结构</t>
        </is>
      </c>
      <c r="G3" s="5" t="inlineStr">
        <is>
          <t>进入 /pm/projects。页顶 info 提示：「项目管理 —— 立项 → 成员 → 任务 → 文档 → 经费 → 合同。项目分【业务项目】与【开发项目】两类；仅开发项目涉及代码仓库绑定与任务仓库关联。」
卡片标题「项目列表」；筛选区含【项目类型】【项目状态】两个下拉、「按编号或名称搜索」输入框、【查询】；右上【刷新】【新建项目】。
表头列依次为：项目编号 / 项目名称 / 类型 / 状态 / 负责人 / 任务 / 成员 / 仓库 / 我的角色 / 操作。
无数据时表格区显示「暂无项目」。</t>
        </is>
      </c>
      <c r="H3" s="5" t="inlineStr">
        <is>
          <t>PmProjectsView.vue L1-105；实测列表当前为空（pm_project 基线 0 行）</t>
        </is>
      </c>
      <c r="I3" s="4" t="inlineStr">
        <is>
          <t>未执行</t>
        </is>
      </c>
      <c r="J3" s="5" t="inlineStr">
        <is>
          <t>空列表是当前基线，勿当成加载失败</t>
        </is>
      </c>
    </row>
    <row r="4">
      <c r="A4" s="4" t="inlineStr">
        <is>
          <t>PM-002</t>
        </is>
      </c>
      <c r="B4" s="4" t="inlineStr">
        <is>
          <t>项目管理</t>
        </is>
      </c>
      <c r="C4" s="4" t="inlineStr">
        <is>
          <t>正向</t>
        </is>
      </c>
      <c r="D4" s="5" t="inlineStr">
        <is>
          <t>新建业务项目 PROJ-2026-001</t>
        </is>
      </c>
      <c r="E4" s="5" t="inlineStr">
        <is>
          <t>管理端 http://127.0.0.1:8080/aioa/web/ ；账号 dsj_admin / User@123 / 租户「某某市某某区大数据管理局」；后端 8080 正常、V71 迁移已应用；项目编号 PROJ-2026-001 未被占用</t>
        </is>
      </c>
      <c r="F4" s="5" t="inlineStr">
        <is>
          <t>1) 点【新建项目】
2) 项目类型选【业务项目】
3) 项目编号填 PROJ-2026-001
4) 项目名称填「发改局2026政务信息化需求调研项目」
5) 负责人选「王振华」
6) 预算总额填 128000
7) 起止日期 2026-01-05 ~ 2026-12-31
8) 点【创建】</t>
        </is>
      </c>
      <c r="G4" s="5" t="inlineStr">
        <is>
          <t>提示「项目已创建」，对话框关闭，列表新增该行：项目编号=PROJ-2026-001、类型=业务项目（灰色 plain 标签）、状态=进行中（蓝色标签）、负责人=王振华、仓库列显示「—」。
点项目名称进详情：【概览】预算总额=¥128,000.00、类型=业务项目、状态=进行中；页签只有 概览 / 任务 / 成员 / 文档 / 经费 / 合同，**没有【代码仓库】页签**。</t>
        </is>
      </c>
      <c r="H4" s="5" t="inlineStr">
        <is>
          <t>创建时后端恒置 status=ACTIVE；仓库列 `projectType==='DEV' ? repoCount : '—'`（L77-82）；isDev 控制仓库页签（PmProjectDetailView L340）</t>
        </is>
      </c>
      <c r="I4" s="4" t="inlineStr">
        <is>
          <t>未执行</t>
        </is>
      </c>
      <c r="J4" s="5" t="inlineStr">
        <is>
          <t>负责人只能选「在册员工」，不能填 admin</t>
        </is>
      </c>
    </row>
    <row r="5">
      <c r="A5" s="4" t="inlineStr">
        <is>
          <t>PM-003</t>
        </is>
      </c>
      <c r="B5" s="4" t="inlineStr">
        <is>
          <t>项目管理</t>
        </is>
      </c>
      <c r="C5" s="4" t="inlineStr">
        <is>
          <t>反向</t>
        </is>
      </c>
      <c r="D5" s="5" t="inlineStr">
        <is>
          <t>业务项目不应渲染任何仓库配置项（BR-01 界面层）</t>
        </is>
      </c>
      <c r="E5" s="5" t="inlineStr">
        <is>
          <t>管理端 http://127.0.0.1:8080/aioa/web/ ；账号 dsj_admin / User@123 / 租户「某某市某某区大数据管理局」；后端 8080 正常、V71 迁移已应用</t>
        </is>
      </c>
      <c r="F5" s="5" t="inlineStr">
        <is>
          <t>1) 点【新建项目】
2) 项目类型选【业务项目】
3) 观察表单剩余字段</t>
        </is>
      </c>
      <c r="G5" s="5" t="inlineStr">
        <is>
          <t>不出现「代码仓库策略（仅开发项目）」分隔线、【仓库策略】单选组（绑定既有仓库 / 自动建仓 / 暂不绑定）、【选择仓库】下拉、【仓库可见性】单选。
取而代之显示 info 提示框：标题「业务项目无需仓库配置」，正文「业务项目只含业务字段。若后续需要代码仓库，可在项目详情中把类型改为「开发项目」。」</t>
        </is>
      </c>
      <c r="H5" s="5" t="inlineStr">
        <is>
          <t>PmProjectsView L157 `v-if="form.projectType === 'DEV'"`；L186-194 为 v-else 提示框</t>
        </is>
      </c>
      <c r="I5" s="4" t="inlineStr">
        <is>
          <t>未执行</t>
        </is>
      </c>
      <c r="J5" s="5" t="inlineStr">
        <is>
          <t>—</t>
        </is>
      </c>
    </row>
    <row r="6">
      <c r="A6" s="4" t="inlineStr">
        <is>
          <t>PM-004</t>
        </is>
      </c>
      <c r="B6" s="4" t="inlineStr">
        <is>
          <t>项目管理</t>
        </is>
      </c>
      <c r="C6" s="4" t="inlineStr">
        <is>
          <t>反向</t>
        </is>
      </c>
      <c r="D6" s="5" t="inlineStr">
        <is>
          <t>项目编号重复必须被拒（唯一性）</t>
        </is>
      </c>
      <c r="E6" s="5" t="inlineStr">
        <is>
          <t>PM-002 已创建 PROJ-2026-001</t>
        </is>
      </c>
      <c r="F6" s="5" t="inlineStr">
        <is>
          <t>1) 点【新建项目】
2) 类型选【业务项目】
3) 编号填 PROJ-2026-001
4) 名称填「重复编号验证」
5) 点【创建】</t>
        </is>
      </c>
      <c r="G6" s="5" t="inlineStr">
        <is>
          <t>弹出红色错误提示「项目编号已存在：PROJ-2026-001」；对话框不关闭；列表不新增行。
服务端返回 409，数据层由唯一键 uk_pm_project_no(tenant_id, project_no, alive) 兜底。</t>
        </is>
      </c>
      <c r="H6" s="5" t="inlineStr">
        <is>
          <t>PmProjectService L124 抛 409；MySQL 实测存在索引 uk_pm_project_no</t>
        </is>
      </c>
      <c r="I6" s="4" t="inlineStr">
        <is>
          <t>未执行</t>
        </is>
      </c>
      <c r="J6" s="5" t="inlineStr">
        <is>
          <t>—</t>
        </is>
      </c>
    </row>
    <row r="7">
      <c r="A7" s="4" t="inlineStr">
        <is>
          <t>PM-005</t>
        </is>
      </c>
      <c r="B7" s="4" t="inlineStr">
        <is>
          <t>项目管理</t>
        </is>
      </c>
      <c r="C7" s="4" t="inlineStr">
        <is>
          <t>正向</t>
        </is>
      </c>
      <c r="D7" s="5" t="inlineStr">
        <is>
          <t>新建开发项目 PROJ-2026-002（含自动建仓分支）</t>
        </is>
      </c>
      <c r="E7" s="5" t="inlineStr">
        <is>
          <t>管理端 http://127.0.0.1:8080/aioa/web/ ；账号 dsj_admin / User@123 / 租户「某某市某某区大数据管理局」；后端 8080 正常、V71 迁移已应用；已绑定个人 Gitee 账号 或 已完成企业 Gitee 初始化（见 GR-021）</t>
        </is>
      </c>
      <c r="F7" s="5" t="inlineStr">
        <is>
          <t>1) 点【新建项目】
2) 项目类型选【开发项目】（出现「代码仓库策略（仅开发项目）」分隔线）
3) 仓库策略选【自动建仓】
4) 仓库可见性选【私有】
5) 编号填 PROJ-2026-002
6) 名称填「发改局项目台账管理系统开发」
7) 负责人选「王振华」
8) 预算总额填 365000
9) 点【创建】</t>
        </is>
      </c>
      <c r="G7" s="5" t="inlineStr">
        <is>
          <t>成功分支：提示「项目已创建」；列表新行 类型=开发项目（橙色 warning 标签）、仓库列=1；详情出现【代码仓库】页签并列出该仓库。
降级分支（当前环境更可能命中）：黄色警告「项目已创建，但自动建仓未成功：&lt;原因&gt;（可在「项目与仓库」建好仓库后，回本项目详情页「仓库」页签绑定）」，**项目仍然创建成功**，仓库列=0。
两个分支都判为通过。</t>
        </is>
      </c>
      <c r="H7" s="5" t="inlineStr">
        <is>
          <t>自动建仓为「尽力而为」：失败 catch 后回 repoWarning，不阻断立项（PmProjectService L165-181）；前端 created.repoWarning → ElMessage.warning</t>
        </is>
      </c>
      <c r="I7" s="4" t="inlineStr">
        <is>
          <t>未执行</t>
        </is>
      </c>
      <c r="J7" s="5" t="inlineStr">
        <is>
          <t>★ 不可把「建仓失败」直接记为缺陷，只有「提示缺失」才是缺陷</t>
        </is>
      </c>
    </row>
    <row r="8">
      <c r="A8" s="4" t="inlineStr">
        <is>
          <t>PM-006</t>
        </is>
      </c>
      <c r="B8" s="4" t="inlineStr">
        <is>
          <t>项目管理</t>
        </is>
      </c>
      <c r="C8" s="4" t="inlineStr">
        <is>
          <t>正向</t>
        </is>
      </c>
      <c r="D8" s="5" t="inlineStr">
        <is>
          <t>开发项目【代码仓库】页签 + 绑定既有仓库</t>
        </is>
      </c>
      <c r="E8" s="5" t="inlineStr">
        <is>
          <t>存在 1 个尚未归属任何项目的仓库（先用 GR-012 造数）；项目类型=开发项目</t>
        </is>
      </c>
      <c r="F8" s="5" t="inlineStr">
        <is>
          <t>1) 进入开发项目详情
2) 点【代码仓库】页签
3) 点【绑定仓库】
4) 在【选择仓库】下拉选一个仓库
5) 点【绑定】</t>
        </is>
      </c>
      <c r="G8" s="5" t="inlineStr">
        <is>
          <t>绑定成功；页签表格新增该仓库行（仓库名 / 路径 / 默认分支 / 状态）；【概览】仓库计数 +1；列表页「仓库」列 +1。</t>
        </is>
      </c>
      <c r="H8" s="5" t="inlineStr">
        <is>
          <t>PmProjectDetailView L44-70；POST /pm/projects/{id}/repos</t>
        </is>
      </c>
      <c r="I8" s="4" t="inlineStr">
        <is>
          <t>未执行</t>
        </is>
      </c>
      <c r="J8" s="5" t="inlineStr">
        <is>
          <t>业务项目详情看不到该页签</t>
        </is>
      </c>
    </row>
    <row r="9">
      <c r="A9" s="4" t="inlineStr">
        <is>
          <t>PM-007</t>
        </is>
      </c>
      <c r="B9" s="4" t="inlineStr">
        <is>
          <t>项目管理</t>
        </is>
      </c>
      <c r="C9" s="4" t="inlineStr">
        <is>
          <t>反向</t>
        </is>
      </c>
      <c r="D9" s="5" t="inlineStr">
        <is>
          <t>一个仓库只能归一个项目（候选去重 + 服务端拒绝）</t>
        </is>
      </c>
      <c r="E9" s="5" t="inlineStr">
        <is>
          <t>仓库 R 已被项目 A 绑定</t>
        </is>
      </c>
      <c r="F9" s="5" t="inlineStr">
        <is>
          <t>1) 项目 B（开发项目）详情 →【绑定仓库】
2) 展开【选择仓库】下拉，观察 R 是否出现
3) 若未出现，用接口 POST /api/v1/pm/projects/{B}/repos body {"repoId": R} 复验</t>
        </is>
      </c>
      <c r="G9" s="5" t="inlineStr">
        <is>
          <t>① 下拉候选中**不含** R；
② 绕过界面直接提交时返回 409，提示「该仓库已归属其它项目，请先在其项目中解绑」。</t>
        </is>
      </c>
      <c r="H9" s="5" t="inlineStr">
        <is>
          <t>PmProjectService L387-391；提示语逐字来自源码</t>
        </is>
      </c>
      <c r="I9" s="4" t="inlineStr">
        <is>
          <t>未执行</t>
        </is>
      </c>
      <c r="J9" s="5" t="inlineStr">
        <is>
          <t>—</t>
        </is>
      </c>
    </row>
    <row r="10">
      <c r="A10" s="4" t="inlineStr">
        <is>
          <t>PM-008</t>
        </is>
      </c>
      <c r="B10" s="4" t="inlineStr">
        <is>
          <t>项目管理</t>
        </is>
      </c>
      <c r="C10" s="4" t="inlineStr">
        <is>
          <t>正向</t>
        </is>
      </c>
      <c r="D10" s="5" t="inlineStr">
        <is>
          <t>按项目编号筛选</t>
        </is>
      </c>
      <c r="E10" s="5" t="inlineStr">
        <is>
          <t>PM-002 / PM-005 已创建两个项目</t>
        </is>
      </c>
      <c r="F10" s="5" t="inlineStr">
        <is>
          <t>1) 在「按编号或名称搜索」输入框输入 PROJ-2026-002
2) 回车或点【查询】</t>
        </is>
      </c>
      <c r="G10" s="5" t="inlineStr">
        <is>
          <t>列表仅剩 PROJ-2026-002 一行，PROJ-2026-001 不出现。</t>
        </is>
      </c>
      <c r="H10" s="5" t="inlineStr">
        <is>
          <t>后端 keyword → `.like(name) OR .like(project_no)`（PmProjectService L206-207）</t>
        </is>
      </c>
      <c r="I10" s="4" t="inlineStr">
        <is>
          <t>未执行</t>
        </is>
      </c>
      <c r="J10" s="5" t="inlineStr">
        <is>
          <t>—</t>
        </is>
      </c>
    </row>
    <row r="11">
      <c r="A11" s="4" t="inlineStr">
        <is>
          <t>PM-009</t>
        </is>
      </c>
      <c r="B11" s="4" t="inlineStr">
        <is>
          <t>项目管理</t>
        </is>
      </c>
      <c r="C11" s="4" t="inlineStr">
        <is>
          <t>正向</t>
        </is>
      </c>
      <c r="D11" s="5" t="inlineStr">
        <is>
          <t>按项目名称关键字筛选</t>
        </is>
      </c>
      <c r="E11" s="5" t="inlineStr">
        <is>
          <t>同上</t>
        </is>
      </c>
      <c r="F11" s="5" t="inlineStr">
        <is>
          <t>1) 关键字改为「台账管理」
2) 回车或点【查询】</t>
        </is>
      </c>
      <c r="G11" s="5" t="inlineStr">
        <is>
          <t>命中 PROJ-2026-002（名称含「台账管理」）；PROJ-2026-001 不出现。</t>
        </is>
      </c>
      <c r="H11" s="5" t="inlineStr">
        <is>
          <t>同上</t>
        </is>
      </c>
      <c r="I11" s="4" t="inlineStr">
        <is>
          <t>未执行</t>
        </is>
      </c>
      <c r="J11" s="5" t="inlineStr">
        <is>
          <t>—</t>
        </is>
      </c>
    </row>
    <row r="12">
      <c r="A12" s="4" t="inlineStr">
        <is>
          <t>PM-010</t>
        </is>
      </c>
      <c r="B12" s="4" t="inlineStr">
        <is>
          <t>项目管理</t>
        </is>
      </c>
      <c r="C12" s="4" t="inlineStr">
        <is>
          <t>正向</t>
        </is>
      </c>
      <c r="D12" s="5" t="inlineStr">
        <is>
          <t>按项目类型筛选</t>
        </is>
      </c>
      <c r="E12" s="5" t="inlineStr">
        <is>
          <t>同上</t>
        </is>
      </c>
      <c r="F12" s="5" t="inlineStr">
        <is>
          <t>1) 【项目类型】选【业务项目】
2) 再选【开发项目】
3) 再点下拉的 clearable 清除</t>
        </is>
      </c>
      <c r="G12" s="5" t="inlineStr">
        <is>
          <t>① 只剩业务项目行；② 只剩开发项目行；③ 恢复全部行。每次选择后自动查询，无需点【查询】。</t>
        </is>
      </c>
      <c r="H12" s="5" t="inlineStr">
        <is>
          <t>query.projectType → /pm/projects?projectType=BUSINESS|DEV；下拉 @change="reload"</t>
        </is>
      </c>
      <c r="I12" s="4" t="inlineStr">
        <is>
          <t>未执行</t>
        </is>
      </c>
      <c r="J12" s="5" t="inlineStr">
        <is>
          <t>—</t>
        </is>
      </c>
    </row>
    <row r="13">
      <c r="A13" s="4" t="inlineStr">
        <is>
          <t>PM-011</t>
        </is>
      </c>
      <c r="B13" s="4" t="inlineStr">
        <is>
          <t>项目管理</t>
        </is>
      </c>
      <c r="C13" s="4" t="inlineStr">
        <is>
          <t>正向</t>
        </is>
      </c>
      <c r="D13" s="5" t="inlineStr">
        <is>
          <t>按项目状态筛选</t>
        </is>
      </c>
      <c r="E13" s="5" t="inlineStr">
        <is>
          <t>同上</t>
        </is>
      </c>
      <c r="F13" s="5" t="inlineStr">
        <is>
          <t>1) 【项目状态】选【进行中】
2) 再选【草稿】</t>
        </is>
      </c>
      <c r="G13" s="5" t="inlineStr">
        <is>
          <t>① 两个新建项目都出现（新建即 ACTIVE/进行中）；② 选【草稿】时列表为空并显示「暂无项目」。</t>
        </is>
      </c>
      <c r="H13" s="5" t="inlineStr">
        <is>
          <t>状态枚举实测为 DRAFT/ACTIVE/SUSPENDED/CLOSED/ARCHIVED；创建恒 ACTIVE</t>
        </is>
      </c>
      <c r="I13" s="4" t="inlineStr">
        <is>
          <t>未执行</t>
        </is>
      </c>
      <c r="J13" s="5" t="inlineStr">
        <is>
          <t>「进行中」是新建项目的默认态</t>
        </is>
      </c>
    </row>
    <row r="14">
      <c r="A14" s="4" t="inlineStr">
        <is>
          <t>PM-012</t>
        </is>
      </c>
      <c r="B14" s="4" t="inlineStr">
        <is>
          <t>项目管理</t>
        </is>
      </c>
      <c r="C14" s="4" t="inlineStr">
        <is>
          <t>反向</t>
        </is>
      </c>
      <c r="D14" s="5" t="inlineStr">
        <is>
          <t>类型 + 状态交叉筛选无交集</t>
        </is>
      </c>
      <c r="E14" s="5" t="inlineStr">
        <is>
          <t>同上</t>
        </is>
      </c>
      <c r="F14" s="5" t="inlineStr">
        <is>
          <t>1) 【项目类型】选【业务项目】
2) 【项目状态】选【已归档】
3) 点【查询】</t>
        </is>
      </c>
      <c r="G14" s="5" t="inlineStr">
        <is>
          <t>列表为空，表格区显示「暂无项目」；页面不报错、不白屏、控制台无未捕获异常。</t>
        </is>
      </c>
      <c r="H14" s="5" t="inlineStr">
        <is>
          <t>两个条件 AND 组合查询；空态由 el-table #empty 模板渲染</t>
        </is>
      </c>
      <c r="I14" s="4" t="inlineStr">
        <is>
          <t>未执行</t>
        </is>
      </c>
      <c r="J14" s="5" t="inlineStr">
        <is>
          <t>—</t>
        </is>
      </c>
    </row>
    <row r="15">
      <c r="A15" s="4" t="inlineStr">
        <is>
          <t>PM-013</t>
        </is>
      </c>
      <c r="B15" s="4" t="inlineStr">
        <is>
          <t>项目管理</t>
        </is>
      </c>
      <c r="C15" s="4" t="inlineStr">
        <is>
          <t>正向</t>
        </is>
      </c>
      <c r="D15" s="5" t="inlineStr">
        <is>
          <t>项目状态合法流转（进行中 ⇄ 暂停）</t>
        </is>
      </c>
      <c r="E15" s="5" t="inlineStr">
        <is>
          <t>PROJ-2026-001 状态=进行中；当前账号对该项目 canManage=true</t>
        </is>
      </c>
      <c r="F15" s="5" t="inlineStr">
        <is>
          <t>1) 进入详情
2) 点【变更状态】→ 选【暂停】→ 确认
3) 再点【变更状态】→ 选【进行中】→ 确认</t>
        </is>
      </c>
      <c r="G15" s="5" t="inlineStr">
        <is>
          <t>状态依次变为「暂停」（黄色标签）→「进行中」（蓝色标签）；列表页状态列同步刷新。</t>
        </is>
      </c>
      <c r="H15" s="5" t="inlineStr">
        <is>
          <t>状态机白名单：ACTIVE→{SUSPENDED,CLOSED,ARCHIVED}；SUSPENDED→{ACTIVE,CLOSED,ARCHIVED}</t>
        </is>
      </c>
      <c r="I15" s="4" t="inlineStr">
        <is>
          <t>未执行</t>
        </is>
      </c>
      <c r="J15" s="5" t="inlineStr">
        <is>
          <t>—</t>
        </is>
      </c>
    </row>
    <row r="16">
      <c r="A16" s="4" t="inlineStr">
        <is>
          <t>PM-014</t>
        </is>
      </c>
      <c r="B16" s="4" t="inlineStr">
        <is>
          <t>项目管理</t>
        </is>
      </c>
      <c r="C16" s="4" t="inlineStr">
        <is>
          <t>反向</t>
        </is>
      </c>
      <c r="D16" s="5" t="inlineStr">
        <is>
          <t>非法状态流转必须被拒（进行中 → 草稿）</t>
        </is>
      </c>
      <c r="E16" s="5" t="inlineStr">
        <is>
          <t>PROJ-2026-001 状态=进行中</t>
        </is>
      </c>
      <c r="F16" s="5" t="inlineStr">
        <is>
          <t>1) 详情 →【变更状态】→ 选【草稿】→ 确认</t>
        </is>
      </c>
      <c r="G16" s="5" t="inlineStr">
        <is>
          <t>红色提示「不允许从 ACTIVE 变更为 DRAFT」；状态保持不变（仍为「进行中」）。
注意：下拉里能选到【草稿】——下拉渲染的是全部枚举，拒绝发生在提交时。</t>
        </is>
      </c>
      <c r="H16" s="5" t="inlineStr">
        <is>
          <t>PmProjectService L337-338；DRAFT 不是任何状态的合法目标（TRANSITIONS 中无 →DRAFT）</t>
        </is>
      </c>
      <c r="I16" s="4" t="inlineStr">
        <is>
          <t>未执行</t>
        </is>
      </c>
      <c r="J16" s="5" t="inlineStr">
        <is>
          <t>下拉可选但提交被拒，属预期行为</t>
        </is>
      </c>
    </row>
    <row r="17">
      <c r="A17" s="4" t="inlineStr">
        <is>
          <t>PM-015</t>
        </is>
      </c>
      <c r="B17" s="4" t="inlineStr">
        <is>
          <t>项目管理</t>
        </is>
      </c>
      <c r="C17" s="4" t="inlineStr">
        <is>
          <t>反向</t>
        </is>
      </c>
      <c r="D17" s="5" t="inlineStr">
        <is>
          <t>【草稿】状态在界面上不可达（枚举与状态机一致性核对）</t>
        </is>
      </c>
      <c r="E17" s="5" t="inlineStr">
        <is>
          <t>管理端 http://127.0.0.1:8080/aioa/web/ ；账号 dsj_admin / User@123 / 租户「某某市某某区大数据管理局」；后端 8080 正常、V71 迁移已应用</t>
        </is>
      </c>
      <c r="F17" s="5" t="inlineStr">
        <is>
          <t>1) 尝试通过新建（无状态字段）
2) 尝试通过详情【变更状态】改成【草稿】（见 PM-014）
3) 汇总两条路径的结论</t>
        </is>
      </c>
      <c r="G17" s="5" t="inlineStr">
        <is>
          <t>无法通过任何界面操作把项目置为「草稿」。结论：当前实现下 DRAFT 只可能来自库内直接造数。
判定：属**已知实现口径**，不作为缺陷；但若业务要求「立项后可先保存为草稿再提交」，属需求缺口，需另立需求。</t>
        </is>
      </c>
      <c r="H17" s="5" t="inlineStr">
        <is>
          <t>创建恒 ACTIVE（PmProjectService L144）；TRANSITIONS 无任何 →DRAFT 的迁移</t>
        </is>
      </c>
      <c r="I17" s="4" t="inlineStr">
        <is>
          <t>未执行</t>
        </is>
      </c>
      <c r="J17" s="5" t="inlineStr">
        <is>
          <t>★ 记录为口径说明，不作为缺陷上报</t>
        </is>
      </c>
    </row>
    <row r="18">
      <c r="A18" s="4" t="inlineStr">
        <is>
          <t>PM-016</t>
        </is>
      </c>
      <c r="B18" s="4" t="inlineStr">
        <is>
          <t>项目管理</t>
        </is>
      </c>
      <c r="C18" s="4" t="inlineStr">
        <is>
          <t>反向</t>
        </is>
      </c>
      <c r="D18" s="5" t="inlineStr">
        <is>
          <t>已结项/已归档为只读终态，禁止再加成员、建任务</t>
        </is>
      </c>
      <c r="E18" s="5" t="inlineStr">
        <is>
          <t>把 PROJ-2026-001 流转到【已结项】（进行中 → 已结项，合法）</t>
        </is>
      </c>
      <c r="F18" s="5" t="inlineStr">
        <is>
          <t>1) 详情【任务】页签观察【新建任务】按钮
2) 详情【成员】页签观察【添加成员】按钮
3) 直接 POST /api/v1/pm/projects/{id}/tasks 复验</t>
        </is>
      </c>
      <c r="G18" s="5" t="inlineStr">
        <is>
          <t>① 界面按钮被隐藏或置灰不可用；② 直接调接口被拒（只读终态不允许写入子对象）。
若界面按钮仍可点且接口能写成功 → 记缺陷。</t>
        </is>
      </c>
      <c r="H18" s="5" t="inlineStr">
        <is>
          <t>PmProjectStatus.isReadOnly(CLOSED/ARCHIVED)；CLOSED→{ARCHIVED} 合法</t>
        </is>
      </c>
      <c r="I18" s="4" t="inlineStr">
        <is>
          <t>未执行</t>
        </is>
      </c>
      <c r="J18" s="5" t="inlineStr">
        <is>
          <t>★ 该条是终态守卫，重点看「是否真的挡住」</t>
        </is>
      </c>
    </row>
    <row r="19">
      <c r="A19" s="4" t="inlineStr">
        <is>
          <t>PM-017</t>
        </is>
      </c>
      <c r="B19" s="4" t="inlineStr">
        <is>
          <t>项目管理</t>
        </is>
      </c>
      <c r="C19" s="4" t="inlineStr">
        <is>
          <t>正向</t>
        </is>
      </c>
      <c r="D19" s="5" t="inlineStr">
        <is>
          <t>添加项目成员并指定项目内角色</t>
        </is>
      </c>
      <c r="E19" s="5" t="inlineStr">
        <is>
          <t>PROJ-2026-001 状态=进行中（未结项）</t>
        </is>
      </c>
      <c r="F19" s="5" t="inlineStr">
        <is>
          <t>1) 详情 →【成员】页签 →【添加成员】
2) 选在册员工「刘敏」
3) 项目角色选【项目经理】
4) 点【添加】</t>
        </is>
      </c>
      <c r="G19" s="5" t="inlineStr">
        <is>
          <t>成员表新增行：姓名=刘敏、工号、职务、项目角色=项目经理；【概览】成员数 +1；列表页「成员」列 +1。</t>
        </is>
      </c>
      <c r="H19" s="5" t="inlineStr">
        <is>
          <t>项目内角色枚举 OWNER/PM/DEV/MEMBER/VIEWER（不是系统角色，仅本项目生效）</t>
        </is>
      </c>
      <c r="I19" s="4" t="inlineStr">
        <is>
          <t>未执行</t>
        </is>
      </c>
      <c r="J19" s="5" t="inlineStr">
        <is>
          <t>—</t>
        </is>
      </c>
    </row>
    <row r="20">
      <c r="A20" s="4" t="inlineStr">
        <is>
          <t>PM-018</t>
        </is>
      </c>
      <c r="B20" s="4" t="inlineStr">
        <is>
          <t>项目管理</t>
        </is>
      </c>
      <c r="C20" s="4" t="inlineStr">
        <is>
          <t>反向</t>
        </is>
      </c>
      <c r="D20" s="5" t="inlineStr">
        <is>
          <t>负责人必须是本企业在册员工（BR-03）</t>
        </is>
      </c>
      <c r="E20" s="5" t="inlineStr">
        <is>
          <t>管理端 http://127.0.0.1:8080/aioa/web/ ；账号 dsj_admin / User@123 / 租户「某某市某某区大数据管理局」；后端 8080 正常、V71 迁移已应用</t>
        </is>
      </c>
      <c r="F20" s="5" t="inlineStr">
        <is>
          <t>1) 【新建项目】→ 展开【负责人】下拉，记录候选范围
2) 用接口 POST /api/v1/pm/projects 传 ownerMemberId=&lt;非本企业 / 非在册员工的 id&gt;</t>
        </is>
      </c>
      <c r="G20" s="5" t="inlineStr">
        <is>
          <t>① 界面下拉只列出 state=ACTIVE 的在册员工，无法录入任意 id；
② 接口侧返回 400，提示「该员工不存在或不属于当前企业」或「该员工不在册（状态：xxx）」。</t>
        </is>
      </c>
      <c r="H20" s="5" t="inlineStr">
        <is>
          <t>PmProjectService L574 / L577；前端 listMembers({status:'ACTIVE'})</t>
        </is>
      </c>
      <c r="I20" s="4" t="inlineStr">
        <is>
          <t>未执行</t>
        </is>
      </c>
      <c r="J20" s="5" t="inlineStr">
        <is>
          <t>负责人≠系统账号，是机构在册员工</t>
        </is>
      </c>
    </row>
    <row r="21">
      <c r="A21" s="4" t="inlineStr">
        <is>
          <t>PM-019</t>
        </is>
      </c>
      <c r="B21" s="4" t="inlineStr">
        <is>
          <t>项目管理</t>
        </is>
      </c>
      <c r="C21" s="4" t="inlineStr">
        <is>
          <t>正向</t>
        </is>
      </c>
      <c r="D21" s="5" t="inlineStr">
        <is>
          <t>开发项目任务可关联仓库 Issue（BR-12 成对）</t>
        </is>
      </c>
      <c r="E21" s="5" t="inlineStr">
        <is>
          <t>PROJ-2026-002 已绑定仓库 R</t>
        </is>
      </c>
      <c r="F21" s="5" t="inlineStr">
        <is>
          <t>1) 详情 →【任务】页签 →【新建任务】
2) 标题填「台账接口开发」
3) 选择代码仓库 R
4) 关联 Issue 填 12
5) 点【保存】</t>
        </is>
      </c>
      <c r="G21" s="5" t="inlineStr">
        <is>
          <t>任务创建成功；任务表「关联 Issue」列显示 12（该列**仅开发项目显示**）；任务计数 +1。</t>
        </is>
      </c>
      <c r="H21" s="5" t="inlineStr">
        <is>
          <t>PmProjectDetailView L100 `v-if="isDev"`；BR-12 成对校验通过</t>
        </is>
      </c>
      <c r="I21" s="4" t="inlineStr">
        <is>
          <t>未执行</t>
        </is>
      </c>
      <c r="J21" s="5" t="inlineStr">
        <is>
          <t>—</t>
        </is>
      </c>
    </row>
    <row r="22">
      <c r="A22" s="4" t="inlineStr">
        <is>
          <t>PM-020</t>
        </is>
      </c>
      <c r="B22" s="4" t="inlineStr">
        <is>
          <t>项目管理</t>
        </is>
      </c>
      <c r="C22" s="4" t="inlineStr">
        <is>
          <t>反向</t>
        </is>
      </c>
      <c r="D22" s="5" t="inlineStr">
        <is>
          <t>任务只填 Issue、不选仓库 → 拒绝</t>
        </is>
      </c>
      <c r="E22" s="5" t="inlineStr">
        <is>
          <t>PROJ-2026-002 详情 → 任务页签</t>
        </is>
      </c>
      <c r="F22" s="5" t="inlineStr">
        <is>
          <t>1) 【新建任务】→ 标题填「错误组合A」
2) 仓库留空
3) 关联 Issue 填 12
4) 点【保存】</t>
        </is>
      </c>
      <c r="G22" s="5" t="inlineStr">
        <is>
          <t>红色提示「填写 issue / 分支 / 提交前必须先选择代码仓库」；任务不创建。</t>
        </is>
      </c>
      <c r="H22" s="5" t="inlineStr">
        <is>
          <t>ProjectTypeGuard.assertRepoPairing L75-77；提示语逐字来自源码</t>
        </is>
      </c>
      <c r="I22" s="4" t="inlineStr">
        <is>
          <t>未执行</t>
        </is>
      </c>
      <c r="J22" s="5" t="inlineStr">
        <is>
          <t>—</t>
        </is>
      </c>
    </row>
    <row r="23">
      <c r="A23" s="4" t="inlineStr">
        <is>
          <t>PM-021</t>
        </is>
      </c>
      <c r="B23" s="4" t="inlineStr">
        <is>
          <t>项目管理</t>
        </is>
      </c>
      <c r="C23" s="4" t="inlineStr">
        <is>
          <t>反向</t>
        </is>
      </c>
      <c r="D23" s="5" t="inlineStr">
        <is>
          <t>任务选了仓库、不填 Issue → 拒绝</t>
        </is>
      </c>
      <c r="E23" s="5" t="inlineStr">
        <is>
          <t>同上</t>
        </is>
      </c>
      <c r="F23" s="5" t="inlineStr">
        <is>
          <t>1) 【新建任务】→ 标题填「错误组合B」
2) 选择仓库 R
3) 关联 Issue 留空
4) 点【保存】</t>
        </is>
      </c>
      <c r="G23" s="5" t="inlineStr">
        <is>
          <t>红色提示「选择代码仓库后必须填写关联的 issue 号」；任务不创建。</t>
        </is>
      </c>
      <c r="H23" s="5" t="inlineStr">
        <is>
          <t>ProjectTypeGuard.assertRepoPairing L78-80</t>
        </is>
      </c>
      <c r="I23" s="4" t="inlineStr">
        <is>
          <t>未执行</t>
        </is>
      </c>
      <c r="J23" s="5" t="inlineStr">
        <is>
          <t>—</t>
        </is>
      </c>
    </row>
    <row r="24">
      <c r="A24" s="4" t="inlineStr">
        <is>
          <t>PM-022</t>
        </is>
      </c>
      <c r="B24" s="4" t="inlineStr">
        <is>
          <t>项目管理</t>
        </is>
      </c>
      <c r="C24" s="4" t="inlineStr">
        <is>
          <t>反向</t>
        </is>
      </c>
      <c r="D24" s="5" t="inlineStr">
        <is>
          <t>文档 / 经费 / 合同页签为占位（**预期即空状态，不是缺陷**）</t>
        </is>
      </c>
      <c r="E24" s="5" t="inlineStr">
        <is>
          <t>已进入任一项目详情</t>
        </is>
      </c>
      <c r="F24" s="5" t="inlineStr">
        <is>
          <t>1) 依次点【文档】【经费】【合同】三个页签
2) 记录每个页签的空状态文案</t>
        </is>
      </c>
      <c r="G24" s="5" t="inlineStr">
        <is>
          <t>三个页签各显示空状态（el-empty），文案分别为：
· 文档：「项目文档（企业级公共 / 项目专属文件夹）随批次 3 交付」
· 经费：「项目经费收支流水随批次 4 交付」
· 合同：「合同、收付款明细与里程碑随批次 4 交付」
结论：本批次刻意不做假界面，空状态即正确表现。</t>
        </is>
      </c>
      <c r="H24" s="5" t="inlineStr">
        <is>
          <t>PmProjectDetailView L171-181 占位页签 + L343-345 hint 文案</t>
        </is>
      </c>
      <c r="I24" s="4" t="inlineStr">
        <is>
          <t>未执行</t>
        </is>
      </c>
      <c r="J24" s="5" t="inlineStr">
        <is>
          <t>★ 你提供的合同 HT-2026-001 / 收付款 64000+64000 / 里程碑在本版本无法验证</t>
        </is>
      </c>
    </row>
    <row r="25">
      <c r="A25" s="4" t="inlineStr">
        <is>
          <t>PM-023</t>
        </is>
      </c>
      <c r="B25" s="4" t="inlineStr">
        <is>
          <t>项目管理</t>
        </is>
      </c>
      <c r="C25" s="4" t="inlineStr">
        <is>
          <t>反向</t>
        </is>
      </c>
      <c r="D25" s="5" t="inlineStr">
        <is>
          <t>业务项目不允许绑仓库（BR-01 服务端边界，绕过界面）</t>
        </is>
      </c>
      <c r="E25" s="5" t="inlineStr">
        <is>
          <t>PROJ-2026-001（业务项目）已创建；存在仓库 R</t>
        </is>
      </c>
      <c r="F25" s="5" t="inlineStr">
        <is>
          <t>直接 POST /api/v1/pm/projects/{PROJ-2026-001 的 id}/repos  body {"repoId": R}</t>
        </is>
      </c>
      <c r="G25" s="5" t="inlineStr">
        <is>
          <t>返回 400，提示「业务项目不支持代码仓库配置」；该项目不新增仓库关联。</t>
        </is>
      </c>
      <c r="H25" s="5" t="inlineStr">
        <is>
          <t>PmProjectService L419；ProjectTypeGuard.assertRepoAllowed L30</t>
        </is>
      </c>
      <c r="I25" s="4" t="inlineStr">
        <is>
          <t>未执行</t>
        </is>
      </c>
      <c r="J25" s="5" t="inlineStr">
        <is>
          <t>★ 该用例证明「前端隐藏 ≠ 安全边界」</t>
        </is>
      </c>
    </row>
    <row r="26">
      <c r="A26" s="4" t="inlineStr">
        <is>
          <t>PM-024</t>
        </is>
      </c>
      <c r="B26" s="4" t="inlineStr">
        <is>
          <t>项目管理</t>
        </is>
      </c>
      <c r="C26" s="4" t="inlineStr">
        <is>
          <t>反向</t>
        </is>
      </c>
      <c r="D26" s="5" t="inlineStr">
        <is>
          <t>开发项目改回业务项目受 BR-02 约束</t>
        </is>
      </c>
      <c r="E26" s="5" t="inlineStr">
        <is>
          <t>PROJ-2026-002（开发项目）已绑定 1 个仓库</t>
        </is>
      </c>
      <c r="F26" s="5" t="inlineStr">
        <is>
          <t>直接 PUT /api/v1/pm/projects/{id}  body {"projectType": "BUSINESS"}</t>
        </is>
      </c>
      <c r="G26" s="5" t="inlineStr">
        <is>
          <t>返回 409，提示「已存在仓库关联（已绑仓库 1 个、带仓库信息的任务 0 条），不能改为业务项目；请先解绑仓库并移除任务的仓库信息」。</t>
        </is>
      </c>
      <c r="H26" s="5" t="inlineStr">
        <is>
          <t>ProjectTypeGuard.assertTypeChangeable L50-55；提示语逐字来自源码</t>
        </is>
      </c>
      <c r="I26" s="4" t="inlineStr">
        <is>
          <t>未执行</t>
        </is>
      </c>
      <c r="J26" s="5" t="inlineStr">
        <is>
          <t>★ 界面无「改类型」入口（详情页只有 变更状态/绑定/解绑/任务/成员）→ 必须走接口</t>
        </is>
      </c>
    </row>
    <row r="27">
      <c r="A27" s="4" t="inlineStr">
        <is>
          <t>PM-025</t>
        </is>
      </c>
      <c r="B27" s="4" t="inlineStr">
        <is>
          <t>项目管理</t>
        </is>
      </c>
      <c r="C27" s="4" t="inlineStr">
        <is>
          <t>正向</t>
        </is>
      </c>
      <c r="D27" s="5" t="inlineStr">
        <is>
          <t>解绑仓库后即可改回业务项目（BR-02 对照组）</t>
        </is>
      </c>
      <c r="E27" s="5" t="inlineStr">
        <is>
          <t>接 PM-024，先把该仓库【解绑】（并清掉任务的仓库信息）</t>
        </is>
      </c>
      <c r="F27" s="5" t="inlineStr">
        <is>
          <t>1) 详情【代码仓库】→ 对仓库点【解绑】
2) 再 PUT /api/v1/pm/projects/{id} body {"projectType":"BUSINESS"}</t>
        </is>
      </c>
      <c r="G27" s="5" t="inlineStr">
        <is>
          <t>返回 200，类型变为业务项目；详情页【代码仓库】页签消失；列表页「仓库」列变为「—」。</t>
        </is>
      </c>
      <c r="H27" s="5" t="inlineStr">
        <is>
          <t>BR-02 条件（无仓库、无带仓库信息的任务）满足即放行</t>
        </is>
      </c>
      <c r="I27" s="4" t="inlineStr">
        <is>
          <t>未执行</t>
        </is>
      </c>
      <c r="J27" s="5" t="inlineStr">
        <is>
          <t>与 PM-024 构成正反对照</t>
        </is>
      </c>
    </row>
    <row r="28">
      <c r="A28" s="4" t="inlineStr">
        <is>
          <t>PM-026</t>
        </is>
      </c>
      <c r="B28" s="4" t="inlineStr">
        <is>
          <t>项目管理</t>
        </is>
      </c>
      <c r="C28" s="4" t="inlineStr">
        <is>
          <t>反向</t>
        </is>
      </c>
      <c r="D28" s="5" t="inlineStr">
        <is>
          <t>无新建权限的角色看不到【新建项目】</t>
        </is>
      </c>
      <c r="E28" s="5" t="inlineStr">
        <is>
          <t>改用普通成员账号登录（ROLE_MEMBER）。可先试 fagai_liu / fagai_li；若其系统角色非普通成员，需另找 MEMBER 账号</t>
        </is>
      </c>
      <c r="F28" s="5" t="inlineStr">
        <is>
          <t>1) 进入【项目管理】
2) 观察右上按钮区与行内操作列</t>
        </is>
      </c>
      <c r="G28" s="5" t="inlineStr">
        <is>
          <t>页面可见、列表只含其数据范围内的项目；右上**无**【新建项目】按钮；行内无【删除】（canManage=false）。</t>
        </is>
      </c>
      <c r="H28" s="5" t="inlineStr">
        <is>
          <t>PM_CREATE_ROLES = ADMIN/TENANT_ADMIN/ORG_ADMIN/DEPT_LEADER（不含 MEMBER）；模板 `v-if="canCreate"` / `v-if="row.canManage"`</t>
        </is>
      </c>
      <c r="I28" s="4" t="inlineStr">
        <is>
          <t>未执行</t>
        </is>
      </c>
      <c r="J28" s="5" t="inlineStr">
        <is>
          <t>先确认该账号的真实系统角色再下结论</t>
        </is>
      </c>
    </row>
    <row r="29">
      <c r="A29" s="4" t="inlineStr">
        <is>
          <t>PM-027</t>
        </is>
      </c>
      <c r="B29" s="4" t="inlineStr">
        <is>
          <t>项目管理</t>
        </is>
      </c>
      <c r="C29" s="4" t="inlineStr">
        <is>
          <t>反向</t>
        </is>
      </c>
      <c r="D29" s="5" t="inlineStr">
        <is>
          <t>数据范围隔离：机构 A 管理员不得看到机构 B 的项目</t>
        </is>
      </c>
      <c r="E29" s="5" t="inlineStr">
        <is>
          <t>先用机构1管理员建 1 个项目（不选部门，落为机构直属），再用机构3管理员建 1 个</t>
        </is>
      </c>
      <c r="F29" s="5" t="inlineStr">
        <is>
          <t>1) 用机构1管理员（fagai_admin 王振华）登录查看列表
2) 用机构3管理员（chengtou_admin 赵文博）登录查看列表</t>
        </is>
      </c>
      <c r="G29" s="5" t="inlineStr">
        <is>
          <t>各自只看到本机构项目；机构直属（department_id=0）项目对其机构管理员**可见**；对方机构项目不出现。</t>
        </is>
      </c>
      <c r="H29" s="5" t="inlineStr">
        <is>
          <t>数据范围共享判定点 canSee()：ORG_ADMIN 按 institutionId 匹配（含 dept-0 直属项目）；list 与 requireVisible 共用同一判定</t>
        </is>
      </c>
      <c r="I29" s="4" t="inlineStr">
        <is>
          <t>未执行</t>
        </is>
      </c>
      <c r="J29" s="5" t="inlineStr">
        <is>
          <t>★ 历史缺陷点：list 曾漏掉 dept=0 的机构直属项目</t>
        </is>
      </c>
    </row>
    <row r="30">
      <c r="A30" s="4" t="inlineStr">
        <is>
          <t>PM-028</t>
        </is>
      </c>
      <c r="B30" s="4" t="inlineStr">
        <is>
          <t>项目管理</t>
        </is>
      </c>
      <c r="C30" s="4" t="inlineStr">
        <is>
          <t>正向</t>
        </is>
      </c>
      <c r="D30" s="5" t="inlineStr">
        <is>
          <t>删除项目：级联软删 + 仓库仅解绑不删代码</t>
        </is>
      </c>
      <c r="E30" s="5" t="inlineStr">
        <is>
          <t>PROJ-2026-001 存在且当前账号 canManage=true</t>
        </is>
      </c>
      <c r="F30" s="5" t="inlineStr">
        <is>
          <t>1) 列表页对 PROJ-2026-001 点【删除】
2) 读确认框文案
3) 点确认</t>
        </is>
      </c>
      <c r="G30" s="5" t="inlineStr">
        <is>
          <t>确认框文案为「确认删除项目「发改局2026政务信息化需求调研项目」？将级联软删其成员与任务（仓库仅解绑，不删除代码）。」；确认后提示「项目已删除」，列表该行消失，详情页不可再访问；库中为软删（deleted_at 有值），非物理删除。</t>
        </is>
      </c>
      <c r="H30" s="5" t="inlineStr">
        <is>
          <t>PmProjectsView.removeProject L244-261；软删由 alive/deleted_at 控制</t>
        </is>
      </c>
      <c r="I30" s="4" t="inlineStr">
        <is>
          <t>未执行</t>
        </is>
      </c>
      <c r="J30" s="5" t="inlineStr">
        <is>
          <t>测完请自行决定是否清理临时项目，避免污染后续基线</t>
        </is>
      </c>
    </row>
    <row r="32">
      <c r="A32" s="6" t="inlineStr">
        <is>
          <t>执行进度统计（随【执行结果】列自动更新）</t>
        </is>
      </c>
    </row>
    <row r="33">
      <c r="A33" s="7" t="inlineStr">
        <is>
          <t>用例总数</t>
        </is>
      </c>
      <c r="B33" s="8">
        <f>COUNTA($A$3:$A$30)</f>
        <v>28</v>
      </c>
    </row>
    <row r="34">
      <c r="A34" s="7" t="inlineStr">
        <is>
          <t>正向用例</t>
        </is>
      </c>
      <c r="B34" s="8">
        <f>COUNTIF($C$3:$C$30,"正向")</f>
        <v>13</v>
      </c>
    </row>
    <row r="35">
      <c r="A35" s="7" t="inlineStr">
        <is>
          <t>异常反向用例</t>
        </is>
      </c>
      <c r="B35" s="8">
        <f>COUNTIF($C$3:$C$30,"反向")</f>
        <v>15</v>
      </c>
    </row>
    <row r="36">
      <c r="A36" s="7" t="inlineStr">
        <is>
          <t>已执行（通过+失败+阻塞）</t>
        </is>
      </c>
      <c r="B36" s="8">
        <f>COUNTIF($I$3:$I$30,"通过")+COUNTIF($I$3:$I$30,"失败")+COUNTIF($I$3:$I$30,"阻塞")</f>
        <v>0</v>
      </c>
    </row>
    <row r="37">
      <c r="A37" s="7" t="inlineStr">
        <is>
          <t>已通过</t>
        </is>
      </c>
      <c r="B37" s="8">
        <f>COUNTIF($I$3:$I$30,"通过")</f>
        <v>0</v>
      </c>
    </row>
    <row r="38">
      <c r="A38" s="7" t="inlineStr">
        <is>
          <t>通过率</t>
        </is>
      </c>
      <c r="B38" s="9" t="str">
        <f>IF(OR(B36="",B36=0),"",B37/B36)</f>
        <v/>
      </c>
    </row>
    <row r="39">
      <c r="A39" s="7" t="inlineStr">
        <is>
          <t>待执行</t>
        </is>
      </c>
      <c r="B39" s="8">
        <f>COUNTIF($I$3:$I$30,"未执行")</f>
        <v>28</v>
      </c>
    </row>
  </sheetData>
  <autoFilter ref="A2:J30"/>
  <mergeCells count="1">
    <mergeCell ref="A1:J1"/>
  </mergeCells>
  <conditionalFormatting sqref="C3:C30">
    <cfRule type="cellIs" priority="1" operator="equal" dxfId="0">
      <formula>"正向"</formula>
    </cfRule>
    <cfRule type="cellIs" priority="2" operator="equal" dxfId="1">
      <formula>"反向"</formula>
    </cfRule>
  </conditionalFormatting>
  <conditionalFormatting sqref="I3:I30">
    <cfRule type="cellIs" priority="3" operator="equal" dxfId="2">
      <formula>"通过"</formula>
    </cfRule>
    <cfRule type="cellIs" priority="4" operator="equal" dxfId="3">
      <formula>"失败"</formula>
    </cfRule>
    <cfRule type="cellIs" priority="5" operator="equal" dxfId="1">
      <formula>"阻塞"</formula>
    </cfRule>
    <cfRule type="cellIs" priority="6" operator="equal" dxfId="4">
      <formula>"未执行"</formula>
    </cfRule>
  </conditionalFormatting>
  <dataValidations count="2">
    <dataValidation sqref="C3:C30" showDropDown="0" showInputMessage="0" showErrorMessage="0" allowBlank="1" error="请选择：正向 / 反向" type="list">
      <formula1>"正向,反向"</formula1>
    </dataValidation>
    <dataValidation sqref="I3:I30" showDropDown="0" showInputMessage="0" showErrorMessage="0" allowBlank="1" error="请选择：未执行 / 通过 / 失败 / 阻塞" type="list">
      <formula1>"未执行,通过,失败,阻塞"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6" customWidth="1" min="4" max="4"/>
    <col width="40" customWidth="1" min="5" max="5"/>
    <col width="54" customWidth="1" min="6" max="6"/>
    <col width="58" customWidth="1" min="7" max="7"/>
    <col width="46" customWidth="1" min="8" max="8"/>
    <col width="11" customWidth="1" min="9" max="9"/>
    <col width="26" customWidth="1" min="10" max="10"/>
  </cols>
  <sheetData>
    <row r="1" ht="26" customHeight="1">
      <c r="A1" s="1" t="inlineStr">
        <is>
          <t>【项目与仓库】（Gitee 联动）模块 · 手工功能测试用例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用例ID</t>
        </is>
      </c>
      <c r="B2" s="3" t="inlineStr">
        <is>
          <t>模块</t>
        </is>
      </c>
      <c r="C2" s="3" t="inlineStr">
        <is>
          <t>场景类型</t>
        </is>
      </c>
      <c r="D2" s="3" t="inlineStr">
        <is>
          <t>测试点</t>
        </is>
      </c>
      <c r="E2" s="3" t="inlineStr">
        <is>
          <t>前置条件</t>
        </is>
      </c>
      <c r="F2" s="3" t="inlineStr">
        <is>
          <t>操作步骤</t>
        </is>
      </c>
      <c r="G2" s="3" t="inlineStr">
        <is>
          <t>预期结果</t>
        </is>
      </c>
      <c r="H2" s="3" t="inlineStr">
        <is>
          <t>实测依据 · 说明</t>
        </is>
      </c>
      <c r="I2" s="3" t="inlineStr">
        <is>
          <t>执行结果</t>
        </is>
      </c>
      <c r="J2" s="3" t="inlineStr">
        <is>
          <t>备注</t>
        </is>
      </c>
    </row>
    <row r="3">
      <c r="A3" s="4" t="inlineStr">
        <is>
          <t>GR-001</t>
        </is>
      </c>
      <c r="B3" s="4" t="inlineStr">
        <is>
          <t>项目与仓库</t>
        </is>
      </c>
      <c r="C3" s="4" t="inlineStr">
        <is>
          <t>正向</t>
        </is>
      </c>
      <c r="D3" s="5" t="inlineStr">
        <is>
          <t>菜单可达性与页面分块</t>
        </is>
      </c>
      <c r="E3" s="5" t="inlineStr">
        <is>
          <t>管理端 http://127.0.0.1:8080/aioa/web/ ；账号 dsj_admin / User@123 / 租户「某某市某某区大数据管理局」；后端 8080 正常、V71 迁移已应用</t>
        </is>
      </c>
      <c r="F3" s="5" t="inlineStr">
        <is>
          <t>1) 左侧菜单点【成果与项目】
2) 点【项目与仓库】
3) 观察页头与页面分块</t>
        </is>
      </c>
      <c r="G3" s="5" t="inlineStr">
        <is>
          <t>进入 /gitee/projects。页头托管方文案随后端 provider 渲染（当前 provider=gitee → 显示「Gitee」）。
页面按角色分块：① 个人账号绑定；② 本企业 Gitee 组织；③ 企业 Gitee 初始化（仅租户管理员）；④ 运维与校准（仅租户管理员）；⑤ 项目列表。</t>
        </is>
      </c>
      <c r="H3" s="5" t="inlineStr">
        <is>
          <t>GiteeProjectsView.vue 模板结构；实测 GET /gitee/config → provider=gitee、providerLabel=Gitee</t>
        </is>
      </c>
      <c r="I3" s="4" t="inlineStr">
        <is>
          <t>未执行</t>
        </is>
      </c>
      <c r="J3" s="5" t="inlineStr">
        <is>
          <t>③④ 仅租户管理员可见</t>
        </is>
      </c>
    </row>
    <row r="4">
      <c r="A4" s="4" t="inlineStr">
        <is>
          <t>GR-002</t>
        </is>
      </c>
      <c r="B4" s="4" t="inlineStr">
        <is>
          <t>项目与仓库</t>
        </is>
      </c>
      <c r="C4" s="4" t="inlineStr">
        <is>
          <t>正向</t>
        </is>
      </c>
      <c r="D4" s="5" t="inlineStr">
        <is>
          <t>★重点场景3：企业初始化「未初始化」状态与告知文案</t>
        </is>
      </c>
      <c r="E4" s="5" t="inlineStr">
        <is>
          <t>管理端 http://127.0.0.1:8080/aioa/web/ ；账号 dsj_admin / User@123 / 租户「某某市某某区大数据管理局」；后端 8080 正常、V71 迁移已应用；当前 gitee_tenant_config(tenant 2) init_status=PENDING，且未配置企业令牌</t>
        </is>
      </c>
      <c r="F4" s="5" t="inlineStr">
        <is>
          <t>1) 进入【项目与仓库】
2) 定位【企业 Gitee 初始化】卡片
3) 逐项核对状态与文案</t>
        </is>
      </c>
      <c r="G4" s="5" t="inlineStr">
        <is>
          <t>① 状态标签=【未初始化】（灰色 info）；②【生效组织】=AI-OA；③【令牌所属账号】=—；④【令牌范围】=—；⑤【组织校验】= 未通过（warning 标签）；⑥ 按钮文案=【初始化】；
⑦ 出现 info 提示框 —— 标题「尚未初始化」，正文「使用企业自己的访问令牌与组织登录名初始化后，建仓等写操作将使用企业令牌，不依赖个人 OAuth 绑定。」</t>
        </is>
      </c>
      <c r="H4" s="5" t="inlineStr">
        <is>
          <t>实测 GET /api/v1/gitee/init → initialized=false、initStatus=PENDING、orgName=AI-OA、tokenConfigured=false；前端 initStatusLabel：非 ACTIVE/FAILED 一律显示「未初始化」</t>
        </is>
      </c>
      <c r="I4" s="4" t="inlineStr">
        <is>
          <t>未执行</t>
        </is>
      </c>
      <c r="J4" s="5" t="inlineStr">
        <is>
          <t>★ 你是要验证的就是这条文案，位置在「企业 Gitee 初始化」卡片</t>
        </is>
      </c>
    </row>
    <row r="5">
      <c r="A5" s="4" t="inlineStr">
        <is>
          <t>GR-003</t>
        </is>
      </c>
      <c r="B5" s="4" t="inlineStr">
        <is>
          <t>项目与仓库</t>
        </is>
      </c>
      <c r="C5" s="4" t="inlineStr">
        <is>
          <t>反向</t>
        </is>
      </c>
      <c r="D5" s="5" t="inlineStr">
        <is>
          <t>★重点场景3澄清：未初始化 ≠ 禁止建仓（令牌回落个人 OAuth）</t>
        </is>
      </c>
      <c r="E5" s="5" t="inlineStr">
        <is>
          <t>个人 Gitee 账号已绑定（实测 /gitee/bind → bound=true、giteeUsername=liu-yang20）；企业初始化仍为未初始化</t>
        </is>
      </c>
      <c r="F5" s="5" t="inlineStr">
        <is>
          <t>1) 在【项目列表】点【新建项目】
2) 填项目名称、选归属部门
3) 提交（触发建仓）</t>
        </is>
      </c>
      <c r="G5" s="5" t="inlineStr">
        <is>
          <t>建仓请求会**先取个人令牌**（存在即直接返回，不读企业令牌），因此未初始化状态下建仓**仍可能成功**。
即：页面上「尚未初始化」只是告知，不构成对写操作的硬拦截。</t>
        </is>
      </c>
      <c r="H5" s="5" t="inlineStr">
        <is>
          <t>GiteeTokenService.requireAccessToken L121-137：个人令牌优先 → 企业令牌兜底 → 都没有才抛错</t>
        </is>
      </c>
      <c r="I5" s="4" t="inlineStr">
        <is>
          <t>未执行</t>
        </is>
      </c>
      <c r="J5" s="5" t="inlineStr">
        <is>
          <t>★ 设计如此，不是缺陷。若要求「未初始化即拦住建仓」属需求增量</t>
        </is>
      </c>
    </row>
    <row r="6">
      <c r="A6" s="4" t="inlineStr">
        <is>
          <t>GR-004</t>
        </is>
      </c>
      <c r="B6" s="4" t="inlineStr">
        <is>
          <t>项目与仓库</t>
        </is>
      </c>
      <c r="C6" s="4" t="inlineStr">
        <is>
          <t>反向</t>
        </is>
      </c>
      <c r="D6" s="5" t="inlineStr">
        <is>
          <t>既无个人绑定、又未做企业初始化时，建仓必须给出明确指引</t>
        </is>
      </c>
      <c r="E6" s="5" t="inlineStr">
        <is>
          <t>先在【个人账号绑定】点【解绑】；企业初始化仍为未初始化</t>
        </is>
      </c>
      <c r="F6" s="5" t="inlineStr">
        <is>
          <t>1) 撤回个人绑定后，用【新建项目】提交一次建仓</t>
        </is>
      </c>
      <c r="G6" s="5" t="inlineStr">
        <is>
          <t>失败并给出明确指引（「当前账号尚未绑定 Gitee 账号…」或企业令牌失效类提示）；**不得静默失败**；项目行要么不创建，要么停在可重试的失败态并把原因写进 errorMsg，可在列表中看到。</t>
        </is>
      </c>
      <c r="H6" s="5" t="inlineStr">
        <is>
          <t>GiteeTokenService L135-137（staleBindingHint / 尚未绑定）</t>
        </is>
      </c>
      <c r="I6" s="4" t="inlineStr">
        <is>
          <t>未执行</t>
        </is>
      </c>
      <c r="J6" s="5" t="inlineStr">
        <is>
          <t>★ 有副作用：需解绑个人账号；建议放在最后执行，测完务必重新绑定或完成企业初始化</t>
        </is>
      </c>
    </row>
    <row r="7">
      <c r="A7" s="4" t="inlineStr">
        <is>
          <t>GR-005</t>
        </is>
      </c>
      <c r="B7" s="4" t="inlineStr">
        <is>
          <t>项目与仓库</t>
        </is>
      </c>
      <c r="C7" s="4" t="inlineStr">
        <is>
          <t>正向</t>
        </is>
      </c>
      <c r="D7" s="5" t="inlineStr">
        <is>
          <t>★重点场景4：运维与校准面板统计</t>
        </is>
      </c>
      <c r="E7" s="5" t="inlineStr">
        <is>
          <t>以租户管理员登录（dsj_admin）；该卡片 v-if="isTenantAdmin"</t>
        </is>
      </c>
      <c r="F7" s="5" t="inlineStr">
        <is>
          <t>1) 定位【运维与校准】卡片
2) 核对四项统计、Worker 名与两个标签</t>
        </is>
      </c>
      <c r="G7" s="5" t="inlineStr">
        <is>
          <t>待处理（PENDING）=0；执行中（RUNNING）=0；已完成（DONE）=1836；失败（FAILED）=1445；
文本「Worker：aioa-gitee-1」；标签【定时校准：开启】；标签【删除连仓：否】；【手动校准】按钮存在且可点。</t>
        </is>
      </c>
      <c r="H7" s="5" t="inlineStr">
        <is>
          <t>实测 GET /api/v1/gitee/tasks/stats → {PENDING:0, RUNNING:0, DONE:1836, FAILED:1445, worker:"aioa-gitee-1"}；定时校准/删除连仓取自 /gitee/config 的 syncEnabled=true、purgeRepoOnDelete=false</t>
        </is>
      </c>
      <c r="I7" s="4" t="inlineStr">
        <is>
          <t>未执行</t>
        </is>
      </c>
      <c r="J7" s="5" t="inlineStr">
        <is>
          <t>统计值与实测逐字一致，可直接作为预期</t>
        </is>
      </c>
    </row>
    <row r="8">
      <c r="A8" s="4" t="inlineStr">
        <is>
          <t>GR-006</t>
        </is>
      </c>
      <c r="B8" s="4" t="inlineStr">
        <is>
          <t>项目与仓库</t>
        </is>
      </c>
      <c r="C8" s="4" t="inlineStr">
        <is>
          <t>反向</t>
        </is>
      </c>
      <c r="D8" s="5" t="inlineStr">
        <is>
          <t>★重点场景4澄清：【定时校准】是只读标签，不是开关</t>
        </is>
      </c>
      <c r="E8" s="5" t="inlineStr">
        <is>
          <t>管理端 http://127.0.0.1:8080/aioa/web/ ；账号 dsj_admin / User@123 / 租户「某某市某某区大数据管理局」；后端 8080 正常、V71 迁移已应用</t>
        </is>
      </c>
      <c r="F8" s="5" t="inlineStr">
        <is>
          <t>1) 在【定时校准：开启】标签上尝试点击
2) 在页面内查找是否存在定时校准的开关/切换控件</t>
        </is>
      </c>
      <c r="G8" s="5" t="inlineStr">
        <is>
          <t>该处为只读标签（el-tag）展示，**没有**开关控件；页面其他位置也没有定时校准开关。
判定：若需求确为「可切换开关」→ 记功能缺口（需提需求）；若仅要求「查看状态」→ 符合实现。</t>
        </is>
      </c>
      <c r="H8" s="5" t="inlineStr">
        <is>
          <t>GiteeProjectsView L200-202 为 el-tag（只读）</t>
        </is>
      </c>
      <c r="I8" s="4" t="inlineStr">
        <is>
          <t>未执行</t>
        </is>
      </c>
      <c r="J8" s="5" t="inlineStr">
        <is>
          <t>★ 建议先与业务确认口径，再决定是否记缺陷</t>
        </is>
      </c>
    </row>
    <row r="9">
      <c r="A9" s="4" t="inlineStr">
        <is>
          <t>GR-007</t>
        </is>
      </c>
      <c r="B9" s="4" t="inlineStr">
        <is>
          <t>项目与仓库</t>
        </is>
      </c>
      <c r="C9" s="4" t="inlineStr">
        <is>
          <t>正向</t>
        </is>
      </c>
      <c r="D9" s="5" t="inlineStr">
        <is>
          <t>手动校准可触发</t>
        </is>
      </c>
      <c r="E9" s="5" t="inlineStr">
        <is>
          <t>租户管理员登录</t>
        </is>
      </c>
      <c r="F9" s="5" t="inlineStr">
        <is>
          <t>1) 点【手动校准】按钮
2) 观察提示
3) 点【刷新】再看统计</t>
        </is>
      </c>
      <c r="G9" s="5" t="inlineStr">
        <is>
          <t>请求 POST /api/v1/gitee/calibrate；成功提示；返回体含 enqueued=&lt;n&gt;、scope=TENANT:2、note「校准任务已入队，由后台队列限速执行；可在任务统计中查看进度」。刷新后 PENDING 可能 &gt;0，随后被 Worker 消费。</t>
        </is>
      </c>
      <c r="H9" s="5" t="inlineStr">
        <is>
          <t>GiteeController.calibrate L236-246：非平台管理员时 scope=本租户（TENANT:2）</t>
        </is>
      </c>
      <c r="I9" s="4" t="inlineStr">
        <is>
          <t>未执行</t>
        </is>
      </c>
      <c r="J9" s="5" t="inlineStr">
        <is>
          <t>平台管理员执行时为 ALL_TENANTS</t>
        </is>
      </c>
    </row>
    <row r="10">
      <c r="A10" s="4" t="inlineStr">
        <is>
          <t>GR-008</t>
        </is>
      </c>
      <c r="B10" s="4" t="inlineStr">
        <is>
          <t>项目与仓库</t>
        </is>
      </c>
      <c r="C10" s="4" t="inlineStr">
        <is>
          <t>反向</t>
        </is>
      </c>
      <c r="D10" s="5" t="inlineStr">
        <is>
          <t>非租户管理员不得看到运维与校准，且接口 403</t>
        </is>
      </c>
      <c r="E10" s="5" t="inlineStr">
        <is>
          <t>用非租户管理员账号登录（如机构管理员 fagai_admin）</t>
        </is>
      </c>
      <c r="F10" s="5" t="inlineStr">
        <is>
          <t>1) 进入【项目与仓库】观察是否渲染【运维与校准】卡片
2) 直接 GET /api/v1/gitee/tasks/stats</t>
        </is>
      </c>
      <c r="G10" s="5" t="inlineStr">
        <is>
          <t>① 界面**不渲染**【运维与校准】卡片；② 接口返回 403。</t>
        </is>
      </c>
      <c r="H10" s="5" t="inlineStr">
        <is>
          <t>模板 v-if="isTenantAdmin"；GiteeController L226 guard.requireTenantAdmin()</t>
        </is>
      </c>
      <c r="I10" s="4" t="inlineStr">
        <is>
          <t>未执行</t>
        </is>
      </c>
      <c r="J10" s="5" t="inlineStr">
        <is>
          <t>—</t>
        </is>
      </c>
    </row>
    <row r="11">
      <c r="A11" s="4" t="inlineStr">
        <is>
          <t>GR-009</t>
        </is>
      </c>
      <c r="B11" s="4" t="inlineStr">
        <is>
          <t>项目与仓库</t>
        </is>
      </c>
      <c r="C11" s="4" t="inlineStr">
        <is>
          <t>正向</t>
        </is>
      </c>
      <c r="D11" s="5" t="inlineStr">
        <is>
          <t>★重点场景5：项目列表按【归属部门】筛选</t>
        </is>
      </c>
      <c r="E11" s="5" t="inlineStr">
        <is>
          <t>管理端 http://127.0.0.1:8080/aioa/web/ ；账号 dsj_admin / User@123 / 租户「某某市某某区大数据管理局」；后端 8080 正常、V71 迁移已应用</t>
        </is>
      </c>
      <c r="F11" s="5" t="inlineStr">
        <is>
          <t>1) 【项目列表】→【归属部门】下拉选「发展规划科（dept11-）」
2) 点【查询】</t>
        </is>
      </c>
      <c r="G11" s="5" t="inlineStr">
        <is>
          <t>仅剩 departmentId=11 的项目（实测该部门下有「AIOA 个人令牌验证 1789636649」「AIOA 真机验证 1789630096」等）；部门下拉选项来自 GET /gitee/departments，受组织作用域限制，选项形如「名称（命名前缀）」。</t>
        </is>
      </c>
      <c r="H11" s="5" t="inlineStr">
        <is>
          <t>GiteeController.projects L253-257；实测 /gitee/departments 返回 部门10=办公室…部门16=综合科（机构1=发改局）</t>
        </is>
      </c>
      <c r="I11" s="4" t="inlineStr">
        <is>
          <t>未执行</t>
        </is>
      </c>
      <c r="J11" s="5" t="inlineStr">
        <is>
          <t>★ 你给的「发改局」是机构，仓库侧筛的粒度是「部门」</t>
        </is>
      </c>
    </row>
    <row r="12">
      <c r="A12" s="4" t="inlineStr">
        <is>
          <t>GR-010</t>
        </is>
      </c>
      <c r="B12" s="4" t="inlineStr">
        <is>
          <t>项目与仓库</t>
        </is>
      </c>
      <c r="C12" s="4" t="inlineStr">
        <is>
          <t>正向</t>
        </is>
      </c>
      <c r="D12" s="5" t="inlineStr">
        <is>
          <t>★重点场景5：项目列表按仓库名 / 项目名称筛选</t>
        </is>
      </c>
      <c r="E12" s="5" t="inlineStr">
        <is>
          <t>接 GR-009</t>
        </is>
      </c>
      <c r="F12" s="5" t="inlineStr">
        <is>
          <t>1) 归属部门选「发展规划科（dept11-）」
2) 关键字输入 fagai-project-ledger
3) 点【查询】
4) 关键字改为已存在项目的仓库名前缀（如 dept11-aioa）再查一次</t>
        </is>
      </c>
      <c r="G12" s="5" t="inlineStr">
        <is>
          <t>① 输入 fagai-project-ledger 时列表为空（实测库中不存在该仓库）；
② 输入 dept11-aioa 时命中对应项目。
关键字同时匹配「项目名称」与「仓库名」（输入框占位文案为「项目名称/仓库名」）。</t>
        </is>
      </c>
      <c r="H12" s="5" t="inlineStr">
        <is>
          <t>输入框占位文案 L241；后端按 departmentId + keyword 过滤</t>
        </is>
      </c>
      <c r="I12" s="4" t="inlineStr">
        <is>
          <t>未执行</t>
        </is>
      </c>
      <c r="J12" s="5" t="inlineStr">
        <is>
          <t>★ 当前库中无 fagai-project-ledger，先按 GR-012 建仓再复验</t>
        </is>
      </c>
    </row>
    <row r="13">
      <c r="A13" s="4" t="inlineStr">
        <is>
          <t>GR-011</t>
        </is>
      </c>
      <c r="B13" s="4" t="inlineStr">
        <is>
          <t>项目与仓库</t>
        </is>
      </c>
      <c r="C13" s="4" t="inlineStr">
        <is>
          <t>反向</t>
        </is>
      </c>
      <c r="D13" s="5" t="inlineStr">
        <is>
          <t>关键字无匹配 → 空列表且页面不报错</t>
        </is>
      </c>
      <c r="E13" s="5" t="inlineStr">
        <is>
          <t>接 GR-010</t>
        </is>
      </c>
      <c r="F13" s="5" t="inlineStr">
        <is>
          <t>1) 关键字输入 zzz_not_exist
2) 点【查询】
3) 点【重置】</t>
        </is>
      </c>
      <c r="G13" s="5" t="inlineStr">
        <is>
          <t>① 列表为空，页面不报错、无未捕获异常；② 点【重置】后筛选条件清空并恢复全部列表。</t>
        </is>
      </c>
      <c r="H13" s="5" t="inlineStr">
        <is>
          <t>resetFilters；列表渲染 rows.length=0</t>
        </is>
      </c>
      <c r="I13" s="4" t="inlineStr">
        <is>
          <t>未执行</t>
        </is>
      </c>
      <c r="J13" s="5" t="inlineStr">
        <is>
          <t>—</t>
        </is>
      </c>
    </row>
    <row r="14">
      <c r="A14" s="4" t="inlineStr">
        <is>
          <t>GR-012</t>
        </is>
      </c>
      <c r="B14" s="4" t="inlineStr">
        <is>
          <t>项目与仓库</t>
        </is>
      </c>
      <c r="C14" s="4" t="inlineStr">
        <is>
          <t>正向</t>
        </is>
      </c>
      <c r="D14" s="5" t="inlineStr">
        <is>
          <t>★重点场景1前置：新建仓库项目并观察「仓库名派生规则」</t>
        </is>
      </c>
      <c r="E14" s="5" t="inlineStr">
        <is>
          <t>已绑定个人 Gitee 账号 或 已完成企业 Gitee 初始化；已选出一个归属部门</t>
        </is>
      </c>
      <c r="F14" s="5" t="inlineStr">
        <is>
          <t>1) 【项目列表】点【新建项目】
2) 项目名称填「发改局项目台账管理系统开发」
3) 归属部门选「发展规划科」
4) 可见性选私有
5) 提交</t>
        </is>
      </c>
      <c r="G14" s="5" t="inlineStr">
        <is>
          <t>创建成功，列表新增一行。**关键**：仓库名（repoName）由平台按 `dept{部门ID}-{项目名 slug}` 派生，即形如 `dept11-…`，**不会**等于你提供的字面量 `fagai-project-ledger`。默认分支以建仓返回值为准（实测既有行为多为 master）。</t>
        </is>
      </c>
      <c r="H14" s="5" t="inlineStr">
        <is>
          <t>实测既有仓库 repoName 全部形如 dept10-e2e-2-… / dept11-aioa-…；命名由 GiteeNaming.repoPath 派生</t>
        </is>
      </c>
      <c r="I14" s="4" t="inlineStr">
        <is>
          <t>未执行</t>
        </is>
      </c>
      <c r="J14" s="5" t="inlineStr">
        <is>
          <t>★ 若必须叫 fagai-project-ledger，需把项目名设成可被 slug 的英文，或在 Gitee 侧重命名（平台不保证跟随）</t>
        </is>
      </c>
    </row>
    <row r="15">
      <c r="A15" s="4" t="inlineStr">
        <is>
          <t>GR-013</t>
        </is>
      </c>
      <c r="B15" s="4" t="inlineStr">
        <is>
          <t>项目与仓库</t>
        </is>
      </c>
      <c r="C15" s="4" t="inlineStr">
        <is>
          <t>反向</t>
        </is>
      </c>
      <c r="D15" s="5" t="inlineStr">
        <is>
          <t>归属部门未选时不允许提交（或给出明确提示）</t>
        </is>
      </c>
      <c r="E15" s="5" t="inlineStr">
        <is>
          <t>在【新建项目】对话框内</t>
        </is>
      </c>
      <c r="F15" s="5" t="inlineStr">
        <is>
          <t>1) 不选归属部门
2) 直接提交
3) 记录实际表现</t>
        </is>
      </c>
      <c r="G15" s="5" t="inlineStr">
        <is>
          <t>前端拦截或后端返回明确错误提示（部门是仓库命名前缀 dept{id}- 的来源，缺失则无法派生仓库名）。
记录实际行为即可；若静默成功并生成无前缀仓库名，记缺陷。</t>
        </is>
      </c>
      <c r="H15" s="5" t="inlineStr">
        <is>
          <t>仓库命名依赖 departmentId（dept{deptId}- 前缀）</t>
        </is>
      </c>
      <c r="I15" s="4" t="inlineStr">
        <is>
          <t>未执行</t>
        </is>
      </c>
      <c r="J15" s="5" t="inlineStr">
        <is>
          <t>该条为探索性用例，以实际表现为准</t>
        </is>
      </c>
    </row>
    <row r="16">
      <c r="A16" s="4" t="inlineStr">
        <is>
          <t>GR-014</t>
        </is>
      </c>
      <c r="B16" s="4" t="inlineStr">
        <is>
          <t>项目与仓库</t>
        </is>
      </c>
      <c r="C16" s="4" t="inlineStr">
        <is>
          <t>正向</t>
        </is>
      </c>
      <c r="D16" s="5" t="inlineStr">
        <is>
          <t>项目详情：仓库信息与事件流</t>
        </is>
      </c>
      <c r="E16" s="5" t="inlineStr">
        <is>
          <t>列表中存在至少一个仓库项目</t>
        </is>
      </c>
      <c r="F16" s="5" t="inlineStr">
        <is>
          <t>1) 在【项目列表】对某项目点【详情】
2) 逐页签浏览</t>
        </is>
      </c>
      <c r="G16" s="5" t="inlineStr">
        <is>
          <t>进入 /gitee/projects/{id}；展示仓库地址（httpUrl / sshUrl）、默认分支、可见性、状态、成员、分支 / 文件 / 提交 / 事件流等信息；页面文案的托管方名称随 provider 渲染。</t>
        </is>
      </c>
      <c r="H16" s="5" t="inlineStr">
        <is>
          <t>GiteeProjectDetailView.vue；实测列表项含 httpUrl/sshUrl/defaultBranch/visibility/status</t>
        </is>
      </c>
      <c r="I16" s="4" t="inlineStr">
        <is>
          <t>未执行</t>
        </is>
      </c>
      <c r="J16" s="5" t="inlineStr">
        <is>
          <t>—</t>
        </is>
      </c>
    </row>
    <row r="17">
      <c r="A17" s="4" t="inlineStr">
        <is>
          <t>GR-015</t>
        </is>
      </c>
      <c r="B17" s="4" t="inlineStr">
        <is>
          <t>项目与仓库</t>
        </is>
      </c>
      <c r="C17" s="4" t="inlineStr">
        <is>
          <t>反向</t>
        </is>
      </c>
      <c r="D17" s="5" t="inlineStr">
        <is>
          <t>建仓失败必须留下可读原因 + 可重试</t>
        </is>
      </c>
      <c r="E17" s="5" t="inlineStr">
        <is>
          <t>库内已有 FAILED 行（实测 id=77「AIOA 个人令牌验证 1789636649」、id=69「AIOA 真机验证 1789630096」）</t>
        </is>
      </c>
      <c r="F17" s="5" t="inlineStr">
        <is>
          <t>1) 在【项目列表】找到状态=失败的记录
2) 查看【失败原因】列
3) 点【重试】</t>
        </is>
      </c>
      <c r="G17" s="5" t="inlineStr">
        <is>
          <t>① 列表在**存在 FAILED 行时**才显示【失败原因】列；
② 失败原因文案完整可读，实测样例：「建仓已完成，但「配置 Webhook」这一步没成功，项目因此停在未就绪状态。当时的具体原因见任务队列中该项目的 Webhook 配置任务；点「重试建仓」可只重跑这一步。」
③ 点【重试】只重跑失败的那一步（不重复建仓）。</t>
        </is>
      </c>
      <c r="H17" s="5" t="inlineStr">
        <is>
          <t>实测 GET /gitee/projects 返回的 errorMsg 与上述逐字一致；模板 v-if="hasFailed" 控制该列</t>
        </is>
      </c>
      <c r="I17" s="4" t="inlineStr">
        <is>
          <t>未执行</t>
        </is>
      </c>
      <c r="J17" s="5" t="inlineStr">
        <is>
          <t>★ 这就是「每一步失败都要有终态」的正面样例</t>
        </is>
      </c>
    </row>
    <row r="18">
      <c r="A18" s="4" t="inlineStr">
        <is>
          <t>GR-016</t>
        </is>
      </c>
      <c r="B18" s="4" t="inlineStr">
        <is>
          <t>项目与仓库</t>
        </is>
      </c>
      <c r="C18" s="4" t="inlineStr">
        <is>
          <t>正向</t>
        </is>
      </c>
      <c r="D18" s="5" t="inlineStr">
        <is>
          <t>企业初始化：先「校验配置」（只校验、不落库）</t>
        </is>
      </c>
      <c r="E18" s="5" t="inlineStr">
        <is>
          <t>租户管理员登录。测前记录当前 init_status=PENDING，便于用【撤销初始化】复原</t>
        </is>
      </c>
      <c r="F18" s="5" t="inlineStr">
        <is>
          <t>1) 【企业 Gitee 初始化】→【初始化】打开对话框
2) 组织登录名填 fagai-org
3) 访问令牌填 gitee-enterprise-token-202601
4) 点【校验配置】</t>
        </is>
      </c>
      <c r="G18" s="5" t="inlineStr">
        <is>
          <t>逐步骤返回 7 步报告：GLOBAL_ENABLED → TENANT_ENABLED → TOKEN_FORMAT → ORG_FORMAT → TOKEN_VALID → ORG_ACCESSIBLE → PERSIST；**不写库**（复看 init_status 仍为 PENDING）。
因该令牌是虚构值，预期在 TOKEN_VALID 或 ORG_ACCESSIBLE 步失败并给出原因。</t>
        </is>
      </c>
      <c r="H18" s="5" t="inlineStr">
        <is>
          <t>GiteeTenantInitService 7 步校验；POST /gitee/init/verify 永不写库</t>
        </is>
      </c>
      <c r="I18" s="4" t="inlineStr">
        <is>
          <t>未执行</t>
        </is>
      </c>
      <c r="J18" s="5" t="inlineStr">
        <is>
          <t>令牌格式校验正则 ^[A-Za-z0-9._\-]{8,512}$</t>
        </is>
      </c>
    </row>
    <row r="19">
      <c r="A19" s="4" t="inlineStr">
        <is>
          <t>GR-017</t>
        </is>
      </c>
      <c r="B19" s="4" t="inlineStr">
        <is>
          <t>项目与仓库</t>
        </is>
      </c>
      <c r="C19" s="4" t="inlineStr">
        <is>
          <t>反向</t>
        </is>
      </c>
      <c r="D19" s="5" t="inlineStr">
        <is>
          <t>组织登录名格式非法 → 前端就地拦截</t>
        </is>
      </c>
      <c r="E19" s="5" t="inlineStr">
        <is>
          <t>初始化对话框已打开</t>
        </is>
      </c>
      <c r="F19" s="5" t="inlineStr">
        <is>
          <t>1) 组织登录名输入「发改局 org」（含中文与空格）
2) 观察表单提示
3) 点【校验配置】</t>
        </is>
      </c>
      <c r="G19" s="5" t="inlineStr">
        <is>
          <t>表单下就地显示「格式错误：仅允许字母/数字/._-，长度 1-128」；点【校验配置】**不发请求**（控制台无网络请求）。</t>
        </is>
      </c>
      <c r="H19" s="5" t="inlineStr">
        <is>
          <t>ORG_NAME_RE = ^[A-Za-z0-9._-]{1,128}$；orgNameError computed 先于请求拦截</t>
        </is>
      </c>
      <c r="I19" s="4" t="inlineStr">
        <is>
          <t>未执行</t>
        </is>
      </c>
      <c r="J19" s="5" t="inlineStr">
        <is>
          <t>—</t>
        </is>
      </c>
    </row>
    <row r="20">
      <c r="A20" s="4" t="inlineStr">
        <is>
          <t>GR-018</t>
        </is>
      </c>
      <c r="B20" s="4" t="inlineStr">
        <is>
          <t>项目与仓库</t>
        </is>
      </c>
      <c r="C20" s="4" t="inlineStr">
        <is>
          <t>反向</t>
        </is>
      </c>
      <c r="D20" s="5" t="inlineStr">
        <is>
          <t>访问令牌必填性由后端 tokenConfigured 决定</t>
        </is>
      </c>
      <c r="E20" s="5" t="inlineStr">
        <is>
          <t>当前 tokenConfigured=false（从未配置过企业令牌）</t>
        </is>
      </c>
      <c r="F20" s="5" t="inlineStr">
        <is>
          <t>1) 初始化对话框令牌留空
2) 组织名填 fagai-org
3) 点【校验配置】</t>
        </is>
      </c>
      <c r="G20" s="5" t="inlineStr">
        <is>
          <t>返回失败并在 TOKEN_FORMAT 步给出「请填写访问令牌」类原因（未配置过企业令牌时令牌必填）。</t>
        </is>
      </c>
      <c r="H20" s="5" t="inlineStr">
        <is>
          <t>前端 tokenRequired = !tokenConfigured；后端 TOKEN_PATTERN 校验</t>
        </is>
      </c>
      <c r="I20" s="4" t="inlineStr">
        <is>
          <t>未执行</t>
        </is>
      </c>
      <c r="J20" s="5" t="inlineStr">
        <is>
          <t>已配置过企业令牌时，留空=沿用旧令牌（rotateToken=false）</t>
        </is>
      </c>
    </row>
    <row r="21">
      <c r="A21" s="4" t="inlineStr">
        <is>
          <t>GR-019</t>
        </is>
      </c>
      <c r="B21" s="4" t="inlineStr">
        <is>
          <t>项目与仓库</t>
        </is>
      </c>
      <c r="C21" s="4" t="inlineStr">
        <is>
          <t>正向</t>
        </is>
      </c>
      <c r="D21" s="5" t="inlineStr">
        <is>
          <t>用有效企业令牌完成初始化（**环境依赖，当前环境可能无法执行**）</t>
        </is>
      </c>
      <c r="E21" s="5" t="inlineStr">
        <is>
          <t>需要一个真实可用、且对目标组织有权限（含 projects 权限、账号为目标组织成员）的 Gitee 企业令牌；组织名需真实存在</t>
        </is>
      </c>
      <c r="F21" s="5" t="inlineStr">
        <is>
          <t>1) 初始化对话框填 组织登录名 + 访问令牌
2) 点【立即初始化】</t>
        </is>
      </c>
      <c r="G21" s="5" t="inlineStr">
        <is>
          <t>7 步全部通过 → 状态标签变【已激活】（绿色 success）；【令牌所属账号】【令牌范围】【初始化时间】有值，【组织校验】= 已通过；按钮变【重新初始化】；出现【撤销初始化】按钮。此后建仓等写操作走**企业令牌**，不依赖个人 OAuth 绑定。</t>
        </is>
      </c>
      <c r="H21" s="5" t="inlineStr">
        <is>
          <t>GiteeTenantInitService.initialize；前端 initStatusLabel ACTIVE→「已激活」；GiteeTokenService.requireAccessToken 企业令牌兜底分支</t>
        </is>
      </c>
      <c r="I21" s="4" t="inlineStr">
        <is>
          <t>未执行</t>
        </is>
      </c>
      <c r="J21" s="5" t="inlineStr">
        <is>
          <t>★ 你给的 gitee-enterprise-token-202601 / fagai-org 是虚构值，在真实 Gitee 上必然失败；需替换为真实凭据，或改用桩（scripts/gitee_stub.py）</t>
        </is>
      </c>
    </row>
    <row r="22">
      <c r="A22" s="4" t="inlineStr">
        <is>
          <t>GR-020</t>
        </is>
      </c>
      <c r="B22" s="4" t="inlineStr">
        <is>
          <t>项目与仓库</t>
        </is>
      </c>
      <c r="C22" s="4" t="inlineStr">
        <is>
          <t>正向</t>
        </is>
      </c>
      <c r="D22" s="5" t="inlineStr">
        <is>
          <t>撤销初始化</t>
        </is>
      </c>
      <c r="E22" s="5" t="inlineStr">
        <is>
          <t>GR-019 已完成（initialized=true）</t>
        </is>
      </c>
      <c r="F22" s="5" t="inlineStr">
        <is>
          <t>1) 点【撤销初始化】
2) 确认
3) 恢复后再次点【撤销初始化】</t>
        </is>
      </c>
      <c r="G22" s="5" t="inlineStr">
        <is>
          <t>① 首次：清空 access_token / token_owner / token_scope / org_verified，init_status 复位 PENDING，按钮回到【初始化】；② 再次点击：报「该企业尚未初始化 Gitee 令牌，无可撤销内容」。</t>
        </is>
      </c>
      <c r="H22" s="5" t="inlineStr">
        <is>
          <t>GiteeTenantInitService L125（提示语逐字来自源码）；DELETE /gitee/init</t>
        </is>
      </c>
      <c r="I22" s="4" t="inlineStr">
        <is>
          <t>未执行</t>
        </is>
      </c>
      <c r="J22" s="5" t="inlineStr">
        <is>
          <t>★ 本用例可用于恢复 GR-016 造成的影响</t>
        </is>
      </c>
    </row>
    <row r="23">
      <c r="A23" s="4" t="inlineStr">
        <is>
          <t>GR-021</t>
        </is>
      </c>
      <c r="B23" s="4" t="inlineStr">
        <is>
          <t>项目与仓库</t>
        </is>
      </c>
      <c r="C23" s="4" t="inlineStr">
        <is>
          <t>反向</t>
        </is>
      </c>
      <c r="D23" s="5" t="inlineStr">
        <is>
          <t>个人账号绑定状态展示与解绑</t>
        </is>
      </c>
      <c r="E23" s="5" t="inlineStr">
        <is>
          <t>管理端 http://127.0.0.1:8080/aioa/web/ ；账号 dsj_admin / User@123 / 租户「某某市某某区大数据管理局」；后端 8080 正常、V71 迁移已应用</t>
        </is>
      </c>
      <c r="F23" s="5" t="inlineStr">
        <is>
          <t>1) 观察【个人账号绑定】卡片
2) 点【解绑】并确认
3) 观察解绑后的形态</t>
        </is>
      </c>
      <c r="G23" s="5" t="inlineStr">
        <is>
          <t>① 已绑定时展示：头像、Gitee 账号、昵称、授权范围、绑定时间、最近刷新、令牌到期（过期时附「已过期（系统将自动刷新）」标签）、刷新令牌是否已保存；【解绑】按钮可用。
② 解绑后转为未绑定态：提示「尚未绑定 Gitee 账号」+【绑定 Gitee 账号】按钮。</t>
        </is>
      </c>
      <c r="H23" s="5" t="inlineStr">
        <is>
          <t>实测 GET /gitee/bind → bound=true、giteeUsername=liu-yang20、giteeName=刘尖尖、hasRefreshToken=true、tokenExpired=false</t>
        </is>
      </c>
      <c r="I23" s="4" t="inlineStr">
        <is>
          <t>未执行</t>
        </is>
      </c>
      <c r="J23" s="5" t="inlineStr">
        <is>
          <t>★ 解绑会影响 GR-003 的分支走向，注意执行顺序</t>
        </is>
      </c>
    </row>
    <row r="24">
      <c r="A24" s="4" t="inlineStr">
        <is>
          <t>GR-022</t>
        </is>
      </c>
      <c r="B24" s="4" t="inlineStr">
        <is>
          <t>项目与仓库</t>
        </is>
      </c>
      <c r="C24" s="4" t="inlineStr">
        <is>
          <t>反向</t>
        </is>
      </c>
      <c r="D24" s="5" t="inlineStr">
        <is>
          <t>「本企业 Gitee 组织」≠「企业令牌初始化」（两个独立配置面，勿混验）</t>
        </is>
      </c>
      <c r="E24" s="5" t="inlineStr">
        <is>
          <t>管理端 http://127.0.0.1:8080/aioa/web/ ；账号 dsj_admin / User@123 / 租户「某某市某某区大数据管理局」；后端 8080 正常、V71 迁移已应用</t>
        </is>
      </c>
      <c r="F24" s="5" t="inlineStr">
        <is>
          <t>1) 观察【本企业 Gitee 组织】卡片
2) 点【配置组织】
3) 保存后观察提示</t>
        </is>
      </c>
      <c r="G24" s="5" t="inlineStr">
        <is>
          <t>该卡片展示：组织登录名=AI-OA、来源=企业自配置（success 标签）、启用状态；保存后若有可见性探测结果会以 warning 提示「组织校验未通过（不影响本次保存）：&lt;原因&gt;」。
要点：它只决定「新建项目落在哪个组织下」，**不等于**企业令牌是否已初始化——两者独立判定、独立接口。</t>
        </is>
      </c>
      <c r="H24" s="5" t="inlineStr">
        <is>
          <t>实测 GET /gitee/tenant-config → orgName=AI-OA、source=TENANT、orgVerified=false、verifyMessage=「未提供操作人，跳过组织可见性校验」</t>
        </is>
      </c>
      <c r="I24" s="4" t="inlineStr">
        <is>
          <t>未执行</t>
        </is>
      </c>
      <c r="J24" s="5" t="inlineStr">
        <is>
          <t>★ 页面上两块卡片相邻，容易误判为同一件事</t>
        </is>
      </c>
    </row>
    <row r="26">
      <c r="A26" s="6" t="inlineStr">
        <is>
          <t>执行进度统计（随【执行结果】列自动更新）</t>
        </is>
      </c>
    </row>
    <row r="27">
      <c r="A27" s="7" t="inlineStr">
        <is>
          <t>用例总数</t>
        </is>
      </c>
      <c r="B27" s="8">
        <f>COUNTA($A$3:$A$24)</f>
        <v>22</v>
      </c>
    </row>
    <row r="28">
      <c r="A28" s="7" t="inlineStr">
        <is>
          <t>正向用例</t>
        </is>
      </c>
      <c r="B28" s="8">
        <f>COUNTIF($C$3:$C$24,"正向")</f>
        <v>11</v>
      </c>
    </row>
    <row r="29">
      <c r="A29" s="7" t="inlineStr">
        <is>
          <t>异常反向用例</t>
        </is>
      </c>
      <c r="B29" s="8">
        <f>COUNTIF($C$3:$C$24,"反向")</f>
        <v>11</v>
      </c>
    </row>
    <row r="30">
      <c r="A30" s="7" t="inlineStr">
        <is>
          <t>已执行（通过+失败+阻塞）</t>
        </is>
      </c>
      <c r="B30" s="8">
        <f>COUNTIF($I$3:$I$24,"通过")+COUNTIF($I$3:$I$24,"失败")+COUNTIF($I$3:$I$24,"阻塞")</f>
        <v>0</v>
      </c>
    </row>
    <row r="31">
      <c r="A31" s="7" t="inlineStr">
        <is>
          <t>已通过</t>
        </is>
      </c>
      <c r="B31" s="8">
        <f>COUNTIF($I$3:$I$24,"通过")</f>
        <v>0</v>
      </c>
    </row>
    <row r="32">
      <c r="A32" s="7" t="inlineStr">
        <is>
          <t>通过率</t>
        </is>
      </c>
      <c r="B32" s="9" t="str">
        <f>IF(OR(B30="",B30=0),"",B31/B30)</f>
        <v/>
      </c>
    </row>
    <row r="33">
      <c r="A33" s="7" t="inlineStr">
        <is>
          <t>待执行</t>
        </is>
      </c>
      <c r="B33" s="8">
        <f>COUNTIF($I$3:$I$24,"未执行")</f>
        <v>22</v>
      </c>
    </row>
  </sheetData>
  <autoFilter ref="A2:J24"/>
  <mergeCells count="1">
    <mergeCell ref="A1:J1"/>
  </mergeCells>
  <conditionalFormatting sqref="C3:C24">
    <cfRule type="cellIs" priority="1" operator="equal" dxfId="0">
      <formula>"正向"</formula>
    </cfRule>
    <cfRule type="cellIs" priority="2" operator="equal" dxfId="1">
      <formula>"反向"</formula>
    </cfRule>
  </conditionalFormatting>
  <conditionalFormatting sqref="I3:I24">
    <cfRule type="cellIs" priority="3" operator="equal" dxfId="2">
      <formula>"通过"</formula>
    </cfRule>
    <cfRule type="cellIs" priority="4" operator="equal" dxfId="3">
      <formula>"失败"</formula>
    </cfRule>
    <cfRule type="cellIs" priority="5" operator="equal" dxfId="1">
      <formula>"阻塞"</formula>
    </cfRule>
    <cfRule type="cellIs" priority="6" operator="equal" dxfId="4">
      <formula>"未执行"</formula>
    </cfRule>
  </conditionalFormatting>
  <dataValidations count="2">
    <dataValidation sqref="C3:C24" showDropDown="0" showInputMessage="0" showErrorMessage="0" allowBlank="1" type="list">
      <formula1>"正向,反向"</formula1>
    </dataValidation>
    <dataValidation sqref="I3:I24" showDropDown="0" showInputMessage="0" showErrorMessage="0" allowBlank="1" type="list">
      <formula1>"未执行,通过,失败,阻塞"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58" customWidth="1" min="4" max="4"/>
    <col width="14" customWidth="1" min="5" max="5"/>
    <col width="40" customWidth="1" min="6" max="6"/>
  </cols>
  <sheetData>
    <row r="1" ht="26" customHeight="1">
      <c r="A1" s="1" t="inlineStr">
        <is>
          <t>★ 执行前必读：你提供的测试数据 与 系统实测事实 的对齐说明</t>
        </is>
      </c>
      <c r="B1" s="2" t="n"/>
      <c r="C1" s="2" t="n"/>
      <c r="D1" s="2" t="n"/>
      <c r="E1" s="2" t="n"/>
      <c r="F1" s="2" t="n"/>
    </row>
    <row r="2" ht="30" customHeight="1">
      <c r="A2" s="3" t="inlineStr">
        <is>
          <t>序号</t>
        </is>
      </c>
      <c r="B2" s="3" t="inlineStr">
        <is>
          <t>项</t>
        </is>
      </c>
      <c r="C2" s="3" t="inlineStr">
        <is>
          <t>你提供的数据 / 预期</t>
        </is>
      </c>
      <c r="D2" s="3" t="inlineStr">
        <is>
          <t>系统实测事实（判定依据）</t>
        </is>
      </c>
      <c r="E2" s="3" t="inlineStr">
        <is>
          <t>差异类型</t>
        </is>
      </c>
      <c r="F2" s="3" t="inlineStr">
        <is>
          <t>用例中的处理方式</t>
        </is>
      </c>
    </row>
    <row r="3">
      <c r="A3" s="4" t="inlineStr">
        <is>
          <t>项目状态枚举</t>
        </is>
      </c>
      <c r="B3" s="5" t="inlineStr">
        <is>
          <t>进行中 / 待启动 / 已完成 / 已终止</t>
        </is>
      </c>
      <c r="C3" s="5" t="inlineStr">
        <is>
          <t>实测枚举为 DRAFT(草稿) / ACTIVE(进行中) / SUSPENDED(暂停) / CLOSED(已结项) / ARCHIVED(已归档)。来源：GET /pm/config 的 statuses，与后端 PmProjectStatus 同源</t>
        </is>
      </c>
      <c r="D3" s="5" t="inlineStr">
        <is>
          <t>枚举不一致</t>
        </is>
      </c>
      <c r="E3" s="4" t="inlineStr">
        <is>
          <t>全部用例改用系统枚举；「待启动 / 已完成 / 已终止」在系统中不存在对应值</t>
        </is>
      </c>
      <c r="F3" s="5" t="n"/>
    </row>
    <row r="4">
      <c r="A4" s="4" t="inlineStr">
        <is>
          <t>测试项目2 的状态为「待启动」</t>
        </is>
      </c>
      <c r="B4" s="5" t="inlineStr">
        <is>
          <t>待启动</t>
        </is>
      </c>
      <c r="C4" s="5" t="inlineStr">
        <is>
          <t>后端创建项目时**恒**置 status=ACTIVE（进行中），且状态机 TRANSITIONS 中没有任何 →DRAFT 的迁移。即「草稿」状态在界面上不可达</t>
        </is>
      </c>
      <c r="D4" s="5" t="inlineStr">
        <is>
          <t>不可实现</t>
        </is>
      </c>
      <c r="E4" s="4" t="inlineStr">
        <is>
          <t>PM-005 的预期改为「进行中」；并新增 PM-015 记录该口径。若业务要求先草稿后提交，需另立需求</t>
        </is>
      </c>
      <c r="F4" s="5" t="n"/>
    </row>
    <row r="5">
      <c r="A5" s="4" t="inlineStr">
        <is>
          <t>成员 张三 / 李四 / 王五 / 赵六</t>
        </is>
      </c>
      <c r="B5" s="5" t="inlineStr">
        <is>
          <t>4 个虚拟人名</t>
        </is>
      </c>
      <c r="C5" s="5" t="inlineStr">
        <is>
          <t>租户 2 的真实用户为：李国强(dsj_admin)、王振华(fagai_admin)、刘敏(fagai_liu)、李思远(fagai_li)、陈静怡(fagai_chen)、吴俊杰(fagai_wu) 等；发改局=机构1（id=1，某某区发展和改革局）</t>
        </is>
      </c>
      <c r="D5" s="5" t="inlineStr">
        <is>
          <t>数据虚构</t>
        </is>
      </c>
      <c r="E5" s="4" t="inlineStr">
        <is>
          <t>用例改用真实在册员工（王振华/刘敏/李思远/陈静怡/吴俊杰）。注意「负责人」选的是机构在册员工，不是系统账号</t>
        </is>
      </c>
      <c r="F5" s="5" t="n"/>
    </row>
    <row r="6">
      <c r="A6" s="4" t="inlineStr">
        <is>
          <t>仓库名 fagai-project-ledger</t>
        </is>
      </c>
      <c r="B6" s="5" t="inlineStr">
        <is>
          <t>字面量仓库名</t>
        </is>
      </c>
      <c r="C6" s="5" t="inlineStr">
        <is>
          <t>仓库名由平台派生：`dept{部门ID}-{项目名 slug}`。实测库内既有仓库 repoName 全部形如 dept10-e2e-2-… / dept11-aioa-…；且当前库中**不存在** fagai-project-ledger</t>
        </is>
      </c>
      <c r="D6" s="5" t="inlineStr">
        <is>
          <t>生成规则不同</t>
        </is>
      </c>
      <c r="E6" s="4" t="inlineStr">
        <is>
          <t>场景1 需先按 GR-012 建仓，并以列表中的实际 repoName 为准；若要该名字需让项目名可被 slug 成它</t>
        </is>
      </c>
      <c r="F6" s="5" t="n"/>
    </row>
    <row r="7">
      <c r="A7" s="4" t="inlineStr">
        <is>
          <t>合同 HT-2026-001 / 收付款 64000+64000 / 里程碑</t>
        </is>
      </c>
      <c r="B7" s="5" t="inlineStr">
        <is>
          <t>具体合同与收付款数据</t>
        </is>
      </c>
      <c r="C7" s="5" t="inlineStr">
        <is>
          <t>【合同】页签为占位，文案「合同、收付款明细与里程碑随批次 4 交付」；pm_project 表也**没有**合同 / 收付款 / 里程碑字段</t>
        </is>
      </c>
      <c r="D7" s="5" t="inlineStr">
        <is>
          <t>功能未实现</t>
        </is>
      </c>
      <c r="E7" s="4" t="inlineStr">
        <is>
          <t>本版本无法验证。PM-022 按「占位即预期」断言，不记缺陷</t>
        </is>
      </c>
      <c r="F7" s="5" t="n"/>
    </row>
    <row r="8">
      <c r="A8" s="4" t="inlineStr">
        <is>
          <t>经费 128000 / 365000</t>
        </is>
      </c>
      <c r="B8" s="5" t="inlineStr">
        <is>
          <t>经费与实际发生额</t>
        </is>
      </c>
      <c r="C8" s="5" t="inlineStr">
        <is>
          <t>仅 pm_project.budget_amount（预算总额）已实现，可在新建时录入（UI 字段名「预算总额」，提示「元（计划值，实际发生额在「经费」页签维护）」）；「经费收支流水」在【经费】页签，属占位（批次 4）</t>
        </is>
      </c>
      <c r="D8" s="5" t="inlineStr">
        <is>
          <t>部分实现</t>
        </is>
      </c>
      <c r="E8" s="4" t="inlineStr">
        <is>
          <t>用例只验证「预算总额」字段；收支流水按 PM-022 占位断言</t>
        </is>
      </c>
      <c r="F8" s="5" t="n"/>
    </row>
    <row r="9">
      <c r="A9" s="4" t="inlineStr">
        <is>
          <t>文档</t>
        </is>
      </c>
      <c r="B9" s="5" t="inlineStr">
        <is>
          <t>项目文档</t>
        </is>
      </c>
      <c r="C9" s="5" t="inlineStr">
        <is>
          <t>【文档】页签为占位，文案「项目文档（企业级公共 / 项目专属文件夹）随批次 3 交付」</t>
        </is>
      </c>
      <c r="D9" s="5" t="inlineStr">
        <is>
          <t>功能未实现</t>
        </is>
      </c>
      <c r="E9" s="4" t="inlineStr">
        <is>
          <t>PM-022 按占位断言，不记缺陷</t>
        </is>
      </c>
      <c r="F9" s="5" t="n"/>
    </row>
    <row r="10">
      <c r="A10" s="4" t="inlineStr">
        <is>
          <t>负责人 admin</t>
        </is>
      </c>
      <c r="B10" s="5" t="inlineStr">
        <is>
          <t>负责人为 admin</t>
        </is>
      </c>
      <c r="C10" s="5" t="inlineStr">
        <is>
          <t>管理端登录账号为 dsj_admin（昵称李国强，租户管理员）；而「负责人」下拉取的是**机构在册员工**（org_employee，status=ACTIVE），与系统账号是两套主体</t>
        </is>
      </c>
      <c r="D10" s="5" t="inlineStr">
        <is>
          <t>主体不同</t>
        </is>
      </c>
      <c r="E10" s="4" t="inlineStr">
        <is>
          <t>登录用 dsj_admin / User@123；负责人选王振华等员工。PM-018 专门验在册约束</t>
        </is>
      </c>
      <c r="F10" s="5" t="n"/>
    </row>
    <row r="11">
      <c r="A11" s="4" t="inlineStr">
        <is>
          <t>登录租户名</t>
        </is>
      </c>
      <c r="B11" s="5" t="inlineStr">
        <is>
          <t>某某市某区大数据管理局</t>
        </is>
      </c>
      <c r="C11" s="5" t="inlineStr">
        <is>
          <t>实测租户名=「某某市某某区大数据管理局」（id=2）。机构1=某某区发展和改革局(ORG 代码 FAGAI 口径)</t>
        </is>
      </c>
      <c r="D11" s="5" t="inlineStr">
        <is>
          <t>名称略有差异</t>
        </is>
      </c>
      <c r="E11" s="4" t="inlineStr">
        <is>
          <t>用实测租户名登录，否则会因租户名校验失败而登录不了</t>
        </is>
      </c>
      <c r="F11" s="5" t="n"/>
    </row>
    <row r="12">
      <c r="A12" s="4" t="inlineStr">
        <is>
          <t>企业令牌 gitee-enterprise-token-202601 / 组织 fagai-org</t>
        </is>
      </c>
      <c r="B12" s="5" t="inlineStr">
        <is>
          <t>具体凭据</t>
        </is>
      </c>
      <c r="C12" s="5" t="inlineStr">
        <is>
          <t>虚构值，在真实 Gitee 上必然失败。实测当前 orgName=AI-OA、init_status=PENDING、tokenConfigured=false</t>
        </is>
      </c>
      <c r="D12" s="5" t="inlineStr">
        <is>
          <t>数据虚构</t>
        </is>
      </c>
      <c r="E12" s="4" t="inlineStr">
        <is>
          <t>GR-016 预期「校验失败」；GR-019 需替换真实凭据或改走桩环境（scripts/gitee_stub.py）</t>
        </is>
      </c>
      <c r="F12" s="5" t="n"/>
    </row>
    <row r="13">
      <c r="A13" s="4" t="inlineStr">
        <is>
          <t>运维统计 PENDING0/RUNNING0/DONE1836/FAILED1445/Worker aioa-gitee-1</t>
        </is>
      </c>
      <c r="B13" s="5" t="inlineStr">
        <is>
          <t>如上</t>
        </is>
      </c>
      <c r="C13" s="5" t="inlineStr">
        <is>
          <t>✅ 与 GET /api/v1/gitee/tasks/stats 实测**逐字一致**：{PENDING:0,RUNNING:0,DONE:1836,FAILED:1445,worker:"aioa-gitee-1"}</t>
        </is>
      </c>
      <c r="D13" s="5" t="inlineStr">
        <is>
          <t>无差异</t>
        </is>
      </c>
      <c r="E13" s="4" t="inlineStr">
        <is>
          <t>可直接作为 GR-005 的预期值使用</t>
        </is>
      </c>
      <c r="F13" s="5" t="n"/>
    </row>
    <row r="14">
      <c r="A14" s="4" t="inlineStr">
        <is>
          <t>定时校准开关</t>
        </is>
      </c>
      <c r="B14" s="5" t="inlineStr">
        <is>
          <t>可切换的开关</t>
        </is>
      </c>
      <c r="C14" s="5" t="inlineStr">
        <is>
          <t>实测该处为只读标签（el-tag）「定时校准：开启」，页面无开关控件</t>
        </is>
      </c>
      <c r="D14" s="5" t="inlineStr">
        <is>
          <t>交互形态不同</t>
        </is>
      </c>
      <c r="E14" s="4" t="inlineStr">
        <is>
          <t>GR-006 按「只读标签」断言并标注；若要求可切换，需先确认需求口径</t>
        </is>
      </c>
      <c r="F14" s="5" t="n"/>
    </row>
    <row r="15">
      <c r="A15" s="4" t="inlineStr">
        <is>
          <t>删除连仓 = 否</t>
        </is>
      </c>
      <c r="B15" s="5" t="inlineStr">
        <is>
          <t>否</t>
        </is>
      </c>
      <c r="C15" s="5" t="inlineStr">
        <is>
          <t>✅ /gitee/config 实测 purgeRepoOnDelete=false，页面标签显示「删除连仓：否」</t>
        </is>
      </c>
      <c r="D15" s="5" t="inlineStr">
        <is>
          <t>无差异</t>
        </is>
      </c>
      <c r="E15" s="4" t="inlineStr">
        <is>
          <t>可直接断言</t>
        </is>
      </c>
      <c r="F15" s="5" t="n"/>
    </row>
    <row r="16">
      <c r="A16" s="4" t="inlineStr">
        <is>
          <t>部门「发改局」</t>
        </is>
      </c>
      <c r="B16" s="5" t="inlineStr">
        <is>
          <t>发改局</t>
        </is>
      </c>
      <c r="C16" s="5" t="inlineStr">
        <is>
          <t>「发改局」是**机构**（机构1=某某区发展和改革局）；其下部门为 部门10 办公室 / 部门11 发展规划科 / 部门12 价格管理科 / 部门13 收费管理室 / 部门14 综合收费组 / 部门15 项目审批科 / 部门16 综合科，命名前缀 dept10-…dept16-</t>
        </is>
      </c>
      <c r="D16" s="5" t="inlineStr">
        <is>
          <t>粒度不同</t>
        </is>
      </c>
      <c r="E16" s="4" t="inlineStr">
        <is>
          <t>【项目与仓库】筛选按「部门」而非「机构」，应选具体部门（如 发展规划科 dept11-）</t>
        </is>
      </c>
      <c r="F16" s="5" t="n"/>
    </row>
    <row r="17">
      <c r="A17" s="4" t="inlineStr">
        <is>
          <t>项目编号 PROJ-2026-001 / 002</t>
        </is>
      </c>
      <c r="B17" s="5" t="inlineStr">
        <is>
          <t>PROJ-…</t>
        </is>
      </c>
      <c r="C17" s="5" t="inlineStr">
        <is>
          <t>项目编号是自由文本（UI 占位示例为「如 PRJ-2026-001（企业内唯一）」），仅受唯一键 uk_pm_project_no(tenant_id, project_no, alive) 约束——注意前缀示例是 PRJ 而非 PROJ</t>
        </is>
      </c>
      <c r="D17" s="5" t="inlineStr">
        <is>
          <t>无实质差异</t>
        </is>
      </c>
      <c r="E17" s="4" t="inlineStr">
        <is>
          <t>用你提供的 PROJ-2026-001 / PROJ-2026-002 即可</t>
        </is>
      </c>
      <c r="F17" s="5" t="n"/>
    </row>
    <row r="18">
      <c r="A18" s="4" t="inlineStr">
        <is>
          <t>里程碑</t>
        </is>
      </c>
      <c r="B18" s="5" t="inlineStr">
        <is>
          <t>里程碑计划</t>
        </is>
      </c>
      <c r="C18" s="5" t="inlineStr">
        <is>
          <t>无独立里程碑实体；PM 详情页「合同」页签的占位文案里提到「合同、收付款明细与里程碑随批次 4 交付」</t>
        </is>
      </c>
      <c r="D18" s="5" t="inlineStr">
        <is>
          <t>功能未实现</t>
        </is>
      </c>
      <c r="E18" s="4" t="inlineStr">
        <is>
          <t>本版本无法验证，PM-022 按占位断言</t>
        </is>
      </c>
      <c r="F18" s="5" t="n"/>
    </row>
    <row r="19">
      <c r="A19" s="4" t="inlineStr">
        <is>
          <t>数据规模（列表分页）</t>
        </is>
      </c>
      <c r="B19" s="5" t="inlineStr">
        <is>
          <t>按筛选/分页浏览</t>
        </is>
      </c>
      <c r="C19" s="5" t="inlineStr">
        <is>
          <t>PM 列表与仓库列表均**无分页**：PM 返回全量数组；仓库侧返回 {items, total}，total=items.size。筛选为服务端过滤后整表返回</t>
        </is>
      </c>
      <c r="D19" s="5" t="inlineStr">
        <is>
          <t>环境事实</t>
        </is>
      </c>
      <c r="E19" s="4" t="inlineStr">
        <is>
          <t>用例不验证分页；数据量大时无分页属体验问题，不记缺陷</t>
        </is>
      </c>
      <c r="F19" s="5" t="n"/>
    </row>
    <row r="20">
      <c r="A20" s="4" t="inlineStr">
        <is>
          <t>执行环境</t>
        </is>
      </c>
      <c r="B20" s="5" t="inlineStr">
        <is>
          <t>—</t>
        </is>
      </c>
      <c r="C20" s="5" t="inlineStr">
        <is>
          <t>管理端 http://127.0.0.1:8080/aioa/web/ ；H5 http://127.0.0.1:8080/aioa/h5/ ；接口前缀 /api/v1；数据库 MySQL8 库名 aioa（root 无密码）；管理端账号 dsj_admin / User@123</t>
        </is>
      </c>
      <c r="D20" s="5" t="inlineStr">
        <is>
          <t>环境事实</t>
        </is>
      </c>
      <c r="E20" s="4" t="inlineStr">
        <is>
          <t>作为全部用例的统一前置条件（表中简写为「ENV」）</t>
        </is>
      </c>
      <c r="F20" s="5" t="n"/>
    </row>
    <row r="21">
      <c r="A21" s="4" t="inlineStr">
        <is>
          <t>已知失败数据（勿当缺陷）</t>
        </is>
      </c>
      <c r="B21" s="5" t="inlineStr">
        <is>
          <t>—</t>
        </is>
      </c>
      <c r="C21" s="5" t="inlineStr">
        <is>
          <t>仓库列表中存在历史 FAILED 行（id=77 AIOA 个人令牌验证、id=69 AIOA 真机验证），失败原因均为「配置 Webhook 这一步没成功」；失败原因文案本身是完整可读的（见 GR-015）</t>
        </is>
      </c>
      <c r="D21" s="5" t="inlineStr">
        <is>
          <t>环境事实</t>
        </is>
      </c>
      <c r="E21" s="4" t="inlineStr">
        <is>
          <t>GR-015 正是用这些行来验证「失败有终态 + 可重试」，不要把它们当成待修的缺陷</t>
        </is>
      </c>
      <c r="F21" s="5" t="n"/>
    </row>
  </sheetData>
  <autoFilter ref="A2:F21"/>
  <mergeCells count="1">
    <mergeCell ref="A1:F1"/>
  </mergeCells>
  <conditionalFormatting sqref="E3:E21">
    <cfRule type="cellIs" priority="1" operator="equal" dxfId="2">
      <formula>"无差异"</formula>
    </cfRule>
    <cfRule type="cellIs" priority="2" operator="equal" dxfId="3">
      <formula>"不可实现"</formula>
    </cfRule>
    <cfRule type="cellIs" priority="3" operator="equal" dxfId="3">
      <formula>"功能未实现"</formula>
    </cfRule>
    <cfRule type="cellIs" priority="4" operator="equal" dxfId="1">
      <formula>"数据虚构"</formula>
    </cfRule>
    <cfRule type="cellIs" priority="5" operator="equal" dxfId="1">
      <formula>"枚举不一致"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AIOA 项目管理与项目仓库 手工功能测试用例</dc:title>
  <dcterms:created xmlns:dcterms="http://purl.org/dc/terms/" xmlns:xsi="http://www.w3.org/2001/XMLSchema-instance" xsi:type="dcterms:W3CDTF">2026-10-02T09:45:01Z</dcterms:created>
  <dcterms:modified xmlns:dcterms="http://purl.org/dc/terms/" xmlns:xsi="http://www.w3.org/2001/XMLSchema-instance" xsi:type="dcterms:W3CDTF">2026-10-02T09:45:01Z</dcterms:modified>
</cp:coreProperties>
</file>